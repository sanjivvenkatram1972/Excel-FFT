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udentia-my.sharepoint.com/personal/sanjiv_prudentia-consulting_com/Documents/Prudentia Consulting/Business Development/Copilot/"/>
    </mc:Choice>
  </mc:AlternateContent>
  <xr:revisionPtr revIDLastSave="0" documentId="8_{F6AB1398-8493-4E58-BBA6-367CF542EC13}" xr6:coauthVersionLast="47" xr6:coauthVersionMax="47" xr10:uidLastSave="{00000000-0000-0000-0000-000000000000}"/>
  <bookViews>
    <workbookView xWindow="-110" yWindow="-110" windowWidth="25820" windowHeight="15500" activeTab="2" xr2:uid="{FE3FD02A-C64F-4F50-95DC-02F0FF869AEE}"/>
  </bookViews>
  <sheets>
    <sheet name="Sheet1" sheetId="1" r:id="rId1"/>
    <sheet name="Data In" sheetId="5" r:id="rId2"/>
    <sheet name="Sheet6" sheetId="6" r:id="rId3"/>
    <sheet name="Data Out" sheetId="4" r:id="rId4"/>
    <sheet name="Settings" sheetId="3" r:id="rId5"/>
    <sheet name="Manifest" sheetId="2" r:id="rId6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DataInterval">Manifest!$J$7</definedName>
    <definedName name="Manifest_Generated">Manifest!$L$5</definedName>
    <definedName name="Manifest_Id">Manifest!$J$5:$K$5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C2" i="6"/>
  <c r="D2" i="6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2" i="6"/>
  <c r="G11" i="6" l="1"/>
  <c r="G2" i="6"/>
  <c r="G4" i="6"/>
  <c r="G6" i="6"/>
  <c r="G7" i="6"/>
  <c r="G8" i="6"/>
  <c r="G9" i="6"/>
  <c r="G10" i="6"/>
  <c r="G12" i="6"/>
  <c r="G13" i="6"/>
  <c r="G14" i="6"/>
  <c r="G5" i="6"/>
  <c r="G15" i="6"/>
  <c r="G16" i="6"/>
  <c r="G3" i="6"/>
  <c r="F2" i="6"/>
  <c r="F3" i="6"/>
  <c r="F4" i="6"/>
  <c r="F5" i="6"/>
  <c r="F6" i="6"/>
  <c r="F7" i="6"/>
  <c r="F8" i="6"/>
  <c r="F9" i="6"/>
  <c r="F10" i="6"/>
  <c r="F11" i="6"/>
  <c r="F12" i="6"/>
  <c r="F13" i="6"/>
  <c r="E13" i="6"/>
  <c r="F14" i="6"/>
  <c r="E14" i="6"/>
  <c r="F15" i="6"/>
  <c r="E15" i="6"/>
  <c r="F16" i="6"/>
  <c r="E16" i="6"/>
  <c r="E2" i="6"/>
  <c r="E3" i="6"/>
  <c r="E4" i="6"/>
  <c r="E5" i="6"/>
  <c r="E6" i="6"/>
  <c r="E7" i="6"/>
  <c r="E8" i="6"/>
  <c r="E9" i="6"/>
  <c r="E10" i="6"/>
  <c r="E11" i="6"/>
  <c r="E12" i="6"/>
</calcChain>
</file>

<file path=xl/sharedStrings.xml><?xml version="1.0" encoding="utf-8"?>
<sst xmlns="http://schemas.openxmlformats.org/spreadsheetml/2006/main" count="61" uniqueCount="42">
  <si>
    <t>Channels</t>
  </si>
  <si>
    <t>Data Source Id</t>
  </si>
  <si>
    <t>AFA48730-0C75-49C6-8F38-9A80B2738F07</t>
  </si>
  <si>
    <t>Data Interval (ms)</t>
  </si>
  <si>
    <t>Built-in Sensors</t>
  </si>
  <si>
    <t>Manifest received from the connected device/application</t>
  </si>
  <si>
    <t>Angular Sensors</t>
  </si>
  <si>
    <t>Accelerometer</t>
  </si>
  <si>
    <t>Id</t>
  </si>
  <si>
    <t>Name</t>
  </si>
  <si>
    <t>Description</t>
  </si>
  <si>
    <t>Unit of Measure</t>
  </si>
  <si>
    <t>Active</t>
  </si>
  <si>
    <t>ACC_X</t>
  </si>
  <si>
    <t>G-force acceleration along the x-axis</t>
  </si>
  <si>
    <t>g's</t>
  </si>
  <si>
    <t>ü</t>
  </si>
  <si>
    <t>ACC_Y</t>
  </si>
  <si>
    <t>G-force acceleration along the y-axis</t>
  </si>
  <si>
    <t>ACC_Z</t>
  </si>
  <si>
    <t>G-force acceleration along the z-axis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</si>
  <si>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</si>
  <si>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</si>
  <si>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</si>
  <si>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</si>
  <si>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</si>
  <si>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</si>
  <si>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</si>
  <si>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</si>
  <si>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</si>
  <si>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</si>
  <si>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CH1</t>
  </si>
  <si>
    <t>CH2</t>
  </si>
  <si>
    <t>CH3</t>
  </si>
  <si>
    <t>Data In (From Built-in Sensors)</t>
  </si>
  <si>
    <t>Data coming from the current data source will appear below as it is received.</t>
  </si>
  <si>
    <t>Current Data</t>
  </si>
  <si>
    <t>TIME</t>
  </si>
  <si>
    <t>Historical Data</t>
  </si>
  <si>
    <t>Computed Roll</t>
  </si>
  <si>
    <t>Computed Pitch</t>
  </si>
  <si>
    <t>Computed 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</si>
</sst>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h:mm:ss.00"/>
    <numFmt numFmtId="165" formatCode="[$-F400]h:mm:ss\ AM/PM"/>
    <numFmt numFmtId="166" formatCode="0.0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Aptos Narrow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b/>
      <sz val="13"/>
      <color rgb="FF000000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3" fillId="2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 indent="1"/>
    </xf>
    <xf numFmtId="0" fontId="10" fillId="6" borderId="0" xfId="0" applyFont="1" applyFill="1" applyAlignment="1" applyProtection="1">
      <alignment horizontal="left" vertical="center" indent="1"/>
      <protection locked="0"/>
    </xf>
    <xf numFmtId="0" fontId="5" fillId="7" borderId="0" xfId="0" applyFont="1" applyFill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11" fillId="7" borderId="2" xfId="0" applyFont="1" applyFill="1" applyBorder="1" applyAlignment="1">
      <alignment horizontal="left" vertical="center" indent="1"/>
    </xf>
    <xf numFmtId="0" fontId="5" fillId="7" borderId="5" xfId="0" applyFont="1" applyFill="1" applyBorder="1" applyAlignment="1">
      <alignment horizontal="left" vertical="center" indent="1"/>
    </xf>
    <xf numFmtId="0" fontId="5" fillId="7" borderId="6" xfId="0" applyFont="1" applyFill="1" applyBorder="1" applyAlignment="1">
      <alignment horizontal="left" vertical="center" indent="1"/>
    </xf>
    <xf numFmtId="0" fontId="5" fillId="7" borderId="7" xfId="0" applyFont="1" applyFill="1" applyBorder="1" applyAlignment="1">
      <alignment horizontal="left" vertical="center" indent="1"/>
    </xf>
    <xf numFmtId="0" fontId="5" fillId="7" borderId="9" xfId="0" applyFont="1" applyFill="1" applyBorder="1" applyAlignment="1">
      <alignment horizontal="left" vertical="center" indent="1"/>
    </xf>
    <xf numFmtId="0" fontId="11" fillId="7" borderId="4" xfId="0" applyFont="1" applyFill="1" applyBorder="1" applyAlignment="1">
      <alignment horizontal="left" vertical="center" indent="1"/>
    </xf>
    <xf numFmtId="0" fontId="11" fillId="7" borderId="8" xfId="0" applyFont="1" applyFill="1" applyBorder="1" applyAlignment="1">
      <alignment horizontal="left" vertical="center" indent="1"/>
    </xf>
    <xf numFmtId="0" fontId="0" fillId="8" borderId="0" xfId="0" applyFill="1" applyProtection="1">
      <protection locked="0"/>
    </xf>
    <xf numFmtId="0" fontId="4" fillId="8" borderId="0" xfId="0" applyFont="1" applyFill="1" applyAlignment="1">
      <alignment horizontal="left" vertical="center" indent="1"/>
    </xf>
    <xf numFmtId="0" fontId="12" fillId="8" borderId="0" xfId="0" applyFont="1" applyFill="1" applyAlignment="1" applyProtection="1">
      <alignment horizontal="left" vertical="center" indent="1"/>
      <protection locked="0"/>
    </xf>
    <xf numFmtId="0" fontId="12" fillId="8" borderId="0" xfId="0" applyFont="1" applyFill="1" applyAlignment="1">
      <alignment horizontal="left" vertical="center" indent="1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4" fillId="9" borderId="11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5" fillId="10" borderId="13" xfId="0" applyFont="1" applyFill="1" applyBorder="1" applyAlignment="1" applyProtection="1">
      <alignment horizontal="right" vertical="center" indent="1"/>
      <protection locked="0"/>
    </xf>
    <xf numFmtId="0" fontId="10" fillId="11" borderId="0" xfId="0" applyFont="1" applyFill="1" applyAlignment="1">
      <alignment horizontal="center" vertical="center"/>
    </xf>
    <xf numFmtId="0" fontId="15" fillId="12" borderId="14" xfId="0" applyFont="1" applyFill="1" applyBorder="1" applyAlignment="1" applyProtection="1">
      <alignment horizontal="right" vertical="center" indent="1"/>
      <protection locked="0"/>
    </xf>
    <xf numFmtId="164" fontId="15" fillId="12" borderId="14" xfId="0" applyNumberFormat="1" applyFont="1" applyFill="1" applyBorder="1" applyAlignment="1" applyProtection="1">
      <alignment horizontal="left" vertical="center" indent="1"/>
      <protection locked="0"/>
    </xf>
    <xf numFmtId="0" fontId="15" fillId="13" borderId="16" xfId="0" applyFont="1" applyFill="1" applyBorder="1" applyAlignment="1" applyProtection="1">
      <alignment horizontal="right" vertical="center" indent="1"/>
      <protection locked="0"/>
    </xf>
    <xf numFmtId="0" fontId="15" fillId="13" borderId="17" xfId="0" applyFont="1" applyFill="1" applyBorder="1" applyAlignment="1" applyProtection="1">
      <alignment horizontal="right" vertical="center" indent="1"/>
      <protection locked="0"/>
    </xf>
    <xf numFmtId="164" fontId="15" fillId="13" borderId="16" xfId="0" applyNumberFormat="1" applyFont="1" applyFill="1" applyBorder="1" applyAlignment="1" applyProtection="1">
      <alignment horizontal="left" vertical="center" indent="1"/>
      <protection locked="0"/>
    </xf>
    <xf numFmtId="164" fontId="15" fillId="13" borderId="17" xfId="0" applyNumberFormat="1" applyFont="1" applyFill="1" applyBorder="1" applyAlignment="1" applyProtection="1">
      <alignment horizontal="left" vertical="center" indent="1"/>
      <protection locked="0"/>
    </xf>
    <xf numFmtId="164" fontId="15" fillId="14" borderId="17" xfId="0" applyNumberFormat="1" applyFont="1" applyFill="1" applyBorder="1" applyAlignment="1" applyProtection="1">
      <alignment horizontal="left" vertical="center" indent="1"/>
      <protection locked="0"/>
    </xf>
    <xf numFmtId="0" fontId="15" fillId="14" borderId="17" xfId="0" applyFont="1" applyFill="1" applyBorder="1" applyAlignment="1" applyProtection="1">
      <alignment horizontal="right" vertical="center" indent="1"/>
      <protection locked="0"/>
    </xf>
    <xf numFmtId="165" fontId="0" fillId="0" borderId="0" xfId="0" applyNumberFormat="1"/>
    <xf numFmtId="166" fontId="0" fillId="0" borderId="0" xfId="0" applyNumberFormat="1"/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6" fillId="2" borderId="0" xfId="0" applyFont="1" applyFill="1" applyAlignment="1">
      <alignment horizontal="left" indent="1"/>
    </xf>
    <xf numFmtId="0" fontId="16" fillId="2" borderId="15" xfId="0" applyFont="1" applyFill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8" borderId="0" xfId="0" applyFont="1" applyFill="1" applyAlignment="1" applyProtection="1">
      <alignment horizontal="left" indent="1"/>
      <protection locked="0"/>
    </xf>
    <xf numFmtId="0" fontId="7" fillId="8" borderId="0" xfId="0" applyFont="1" applyFill="1" applyAlignment="1" applyProtection="1">
      <alignment horizontal="left" vertical="top" wrapText="1" indent="1"/>
      <protection locked="0"/>
    </xf>
    <xf numFmtId="0" fontId="13" fillId="8" borderId="0" xfId="0" applyFont="1" applyFill="1" applyAlignment="1" applyProtection="1">
      <alignment horizontal="left" vertical="center" wrapText="1" indent="1"/>
      <protection locked="0"/>
    </xf>
    <xf numFmtId="0" fontId="2" fillId="2" borderId="0" xfId="0" applyFont="1" applyFill="1" applyAlignment="1">
      <alignment horizontal="left" indent="1"/>
    </xf>
    <xf numFmtId="0" fontId="4" fillId="2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9" fillId="5" borderId="1" xfId="0" applyFont="1" applyFill="1" applyBorder="1" applyAlignment="1" applyProtection="1">
      <alignment horizontal="left" vertical="center" indent="1"/>
      <protection locked="0"/>
    </xf>
  </cellXfs>
  <cellStyles count="1">
    <cellStyle name="Normal" xfId="0" builtinId="0"/>
  </cellStyles>
  <dxfs count="16">
    <dxf>
      <numFmt numFmtId="166" formatCode="0.000"/>
    </dxf>
    <dxf>
      <numFmt numFmtId="166" formatCode="0.000"/>
    </dxf>
    <dxf>
      <numFmt numFmtId="166" formatCode="0.000"/>
    </dxf>
    <dxf>
      <numFmt numFmtId="165" formatCode="[$-F400]h:mm:ss\ AM/PM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9488E10A-42B4-4A3A-B3FF-7BEE36166C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b="1"/>
              <a:t>Euler angles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Sheet6!$E$1</c:f>
              <c:strCache>
                <c:ptCount val="1"/>
                <c:pt idx="0">
                  <c:v>Computed Roll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Sheet6!$A$2:$A$16</c:f>
              <c:numCache>
                <c:formatCode>[$-F400]h:mm:ss\ am/pm</c:formatCode>
                <c:ptCount val="15"/>
                <c:pt idx="0">
                  <c:v>45909.085219456021</c:v>
                </c:pt>
                <c:pt idx="1">
                  <c:v>45909.085220046298</c:v>
                </c:pt>
                <c:pt idx="2">
                  <c:v>45909.085220624998</c:v>
                </c:pt>
                <c:pt idx="3">
                  <c:v>45909.085221122688</c:v>
                </c:pt>
                <c:pt idx="4">
                  <c:v>45909.085221909721</c:v>
                </c:pt>
                <c:pt idx="5">
                  <c:v>45909.085222488429</c:v>
                </c:pt>
                <c:pt idx="6">
                  <c:v>45909.08522306713</c:v>
                </c:pt>
                <c:pt idx="7">
                  <c:v>45909.085223715279</c:v>
                </c:pt>
                <c:pt idx="8">
                  <c:v>45909.085224444447</c:v>
                </c:pt>
                <c:pt idx="9">
                  <c:v>45909.085225115741</c:v>
                </c:pt>
                <c:pt idx="10">
                  <c:v>45909.08522572917</c:v>
                </c:pt>
                <c:pt idx="11">
                  <c:v>45909.08522641204</c:v>
                </c:pt>
                <c:pt idx="12">
                  <c:v>45909.085226932868</c:v>
                </c:pt>
                <c:pt idx="13">
                  <c:v>45909.085227581018</c:v>
                </c:pt>
                <c:pt idx="14">
                  <c:v>45909.085228124997</c:v>
                </c:pt>
              </c:numCache>
            </c:numRef>
          </c:xVal>
          <c:yVal>
            <c:numRef>
              <c:f>Sheet6!$E$2:$E$16</c:f>
              <c:numCache>
                <c:formatCode>0.000</c:formatCode>
                <c:ptCount val="15"/>
                <c:pt idx="0">
                  <c:v>-2.9438112794547902</c:v>
                </c:pt>
                <c:pt idx="1">
                  <c:v>-2.9546835322279583</c:v>
                </c:pt>
                <c:pt idx="2">
                  <c:v>-2.9592978234915286</c:v>
                </c:pt>
                <c:pt idx="3">
                  <c:v>-2.9515425300903999</c:v>
                </c:pt>
                <c:pt idx="4">
                  <c:v>-2.9438112794547902</c:v>
                </c:pt>
                <c:pt idx="5">
                  <c:v>-2.955416849145438</c:v>
                </c:pt>
                <c:pt idx="6">
                  <c:v>-2.9592978234915286</c:v>
                </c:pt>
                <c:pt idx="7">
                  <c:v>-2.9515425300903999</c:v>
                </c:pt>
                <c:pt idx="8">
                  <c:v>-2.9430345975169785</c:v>
                </c:pt>
                <c:pt idx="9">
                  <c:v>-2.955416849145438</c:v>
                </c:pt>
                <c:pt idx="10">
                  <c:v>-2.9546835322279583</c:v>
                </c:pt>
                <c:pt idx="11">
                  <c:v>-2.9515425300903999</c:v>
                </c:pt>
                <c:pt idx="12">
                  <c:v>-2.9469116832868676</c:v>
                </c:pt>
                <c:pt idx="13">
                  <c:v>-2.9515425300903999</c:v>
                </c:pt>
                <c:pt idx="14">
                  <c:v>-2.955416849145438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46-461F-AE51-3A11C75920A4}"/>
            </c:ext>
          </c:extLst>
        </c:ser>
        <c:ser>
          <c:idx val="4"/>
          <c:order val="1"/>
          <c:tx>
            <c:strRef>
              <c:f>Sheet6!$F$1</c:f>
              <c:strCache>
                <c:ptCount val="1"/>
                <c:pt idx="0">
                  <c:v>Computed Pitch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Sheet6!$A$2:$A$16</c:f>
              <c:numCache>
                <c:formatCode>[$-F400]h:mm:ss\ am/pm</c:formatCode>
                <c:ptCount val="15"/>
                <c:pt idx="0">
                  <c:v>45909.085219456021</c:v>
                </c:pt>
                <c:pt idx="1">
                  <c:v>45909.085220046298</c:v>
                </c:pt>
                <c:pt idx="2">
                  <c:v>45909.085220624998</c:v>
                </c:pt>
                <c:pt idx="3">
                  <c:v>45909.085221122688</c:v>
                </c:pt>
                <c:pt idx="4">
                  <c:v>45909.085221909721</c:v>
                </c:pt>
                <c:pt idx="5">
                  <c:v>45909.085222488429</c:v>
                </c:pt>
                <c:pt idx="6">
                  <c:v>45909.08522306713</c:v>
                </c:pt>
                <c:pt idx="7">
                  <c:v>45909.085223715279</c:v>
                </c:pt>
                <c:pt idx="8">
                  <c:v>45909.085224444447</c:v>
                </c:pt>
                <c:pt idx="9">
                  <c:v>45909.085225115741</c:v>
                </c:pt>
                <c:pt idx="10">
                  <c:v>45909.08522572917</c:v>
                </c:pt>
                <c:pt idx="11">
                  <c:v>45909.08522641204</c:v>
                </c:pt>
                <c:pt idx="12">
                  <c:v>45909.085226932868</c:v>
                </c:pt>
                <c:pt idx="13">
                  <c:v>45909.085227581018</c:v>
                </c:pt>
                <c:pt idx="14">
                  <c:v>45909.085228124997</c:v>
                </c:pt>
              </c:numCache>
            </c:numRef>
          </c:xVal>
          <c:yVal>
            <c:numRef>
              <c:f>Sheet6!$F$2:$F$16</c:f>
              <c:numCache>
                <c:formatCode>0.000</c:formatCode>
                <c:ptCount val="15"/>
                <c:pt idx="0">
                  <c:v>1.6171892512285251</c:v>
                </c:pt>
                <c:pt idx="1">
                  <c:v>1.6174746237391866</c:v>
                </c:pt>
                <c:pt idx="2">
                  <c:v>1.6173274644180669</c:v>
                </c:pt>
                <c:pt idx="3">
                  <c:v>1.6172596416756255</c:v>
                </c:pt>
                <c:pt idx="4">
                  <c:v>1.6171892512285251</c:v>
                </c:pt>
                <c:pt idx="5">
                  <c:v>1.6172938730666557</c:v>
                </c:pt>
                <c:pt idx="6">
                  <c:v>1.6173274644180669</c:v>
                </c:pt>
                <c:pt idx="7">
                  <c:v>1.6172596416756255</c:v>
                </c:pt>
                <c:pt idx="8">
                  <c:v>1.6173687798376</c:v>
                </c:pt>
                <c:pt idx="9">
                  <c:v>1.6172938730666557</c:v>
                </c:pt>
                <c:pt idx="10">
                  <c:v>1.6174746237391866</c:v>
                </c:pt>
                <c:pt idx="11">
                  <c:v>1.6172596416756255</c:v>
                </c:pt>
                <c:pt idx="12">
                  <c:v>1.6174047090795389</c:v>
                </c:pt>
                <c:pt idx="13">
                  <c:v>1.621192838229182</c:v>
                </c:pt>
                <c:pt idx="14">
                  <c:v>1.6172938730666557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46-461F-AE51-3A11C75920A4}"/>
            </c:ext>
          </c:extLst>
        </c:ser>
        <c:ser>
          <c:idx val="5"/>
          <c:order val="2"/>
          <c:tx>
            <c:strRef>
              <c:f>Sheet6!$G$1</c:f>
              <c:strCache>
                <c:ptCount val="1"/>
                <c:pt idx="0">
                  <c:v>Computed Yaw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Sheet6!$A$2:$A$16</c:f>
              <c:numCache>
                <c:formatCode>[$-F400]h:mm:ss\ am/pm</c:formatCode>
                <c:ptCount val="15"/>
                <c:pt idx="0">
                  <c:v>45909.085219456021</c:v>
                </c:pt>
                <c:pt idx="1">
                  <c:v>45909.085220046298</c:v>
                </c:pt>
                <c:pt idx="2">
                  <c:v>45909.085220624998</c:v>
                </c:pt>
                <c:pt idx="3">
                  <c:v>45909.085221122688</c:v>
                </c:pt>
                <c:pt idx="4">
                  <c:v>45909.085221909721</c:v>
                </c:pt>
                <c:pt idx="5">
                  <c:v>45909.085222488429</c:v>
                </c:pt>
                <c:pt idx="6">
                  <c:v>45909.08522306713</c:v>
                </c:pt>
                <c:pt idx="7">
                  <c:v>45909.085223715279</c:v>
                </c:pt>
                <c:pt idx="8">
                  <c:v>45909.085224444447</c:v>
                </c:pt>
                <c:pt idx="9">
                  <c:v>45909.085225115741</c:v>
                </c:pt>
                <c:pt idx="10">
                  <c:v>45909.08522572917</c:v>
                </c:pt>
                <c:pt idx="11">
                  <c:v>45909.08522641204</c:v>
                </c:pt>
                <c:pt idx="12">
                  <c:v>45909.085226932868</c:v>
                </c:pt>
                <c:pt idx="13">
                  <c:v>45909.085227581018</c:v>
                </c:pt>
                <c:pt idx="14">
                  <c:v>45909.085228124997</c:v>
                </c:pt>
              </c:numCache>
            </c:numRef>
          </c:xVal>
          <c:yVal>
            <c:numRef>
              <c:f>Sheet6!$G$2:$G$16</c:f>
              <c:numCache>
                <c:formatCode>0.000</c:formatCode>
                <c:ptCount val="15"/>
                <c:pt idx="0">
                  <c:v>-1.5234823495137568</c:v>
                </c:pt>
                <c:pt idx="1">
                  <c:v>-1.5232918701048792</c:v>
                </c:pt>
                <c:pt idx="2">
                  <c:v>-1.5234823495137568</c:v>
                </c:pt>
                <c:pt idx="3">
                  <c:v>-1.5234823495137568</c:v>
                </c:pt>
                <c:pt idx="4">
                  <c:v>-1.5234823495137568</c:v>
                </c:pt>
                <c:pt idx="5">
                  <c:v>-1.5234823495137568</c:v>
                </c:pt>
                <c:pt idx="6">
                  <c:v>-1.5234823495137568</c:v>
                </c:pt>
                <c:pt idx="7">
                  <c:v>-1.5234823495137568</c:v>
                </c:pt>
                <c:pt idx="8">
                  <c:v>-1.5232918701048792</c:v>
                </c:pt>
                <c:pt idx="9">
                  <c:v>-1.5234823495137568</c:v>
                </c:pt>
                <c:pt idx="10">
                  <c:v>-1.5232918701048792</c:v>
                </c:pt>
                <c:pt idx="11">
                  <c:v>-1.5234823495137568</c:v>
                </c:pt>
                <c:pt idx="12">
                  <c:v>-1.5232918701048792</c:v>
                </c:pt>
                <c:pt idx="13">
                  <c:v>-1.5194773839080626</c:v>
                </c:pt>
                <c:pt idx="14">
                  <c:v>-1.5234823495137568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846-461F-AE51-3A11C7592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236463"/>
        <c:axId val="1457237423"/>
      </c:scatterChart>
      <c:valAx>
        <c:axId val="145723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237423"/>
        <c:crosses val="autoZero"/>
        <c:crossBetween val="midCat"/>
      </c:valAx>
      <c:valAx>
        <c:axId val="145723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23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16</xdr:row>
      <xdr:rowOff>88900</xdr:rowOff>
    </xdr:from>
    <xdr:to>
      <xdr:col>9</xdr:col>
      <xdr:colOff>165100</xdr:colOff>
      <xdr:row>37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E26E28-0A72-D0EA-4E07-C63331017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DCCDFD-A692-4F1B-8DD6-4E6786CED3A6}" name="TBL_CUR" displayName="TBL_CUR" ref="A4:D5" totalsRowShown="0" headerRowDxfId="15" dataDxfId="14">
  <autoFilter ref="A4:D5" xr:uid="{17DCCDFD-A692-4F1B-8DD6-4E6786CED3A6}">
    <filterColumn colId="0" hiddenButton="1"/>
    <filterColumn colId="1" hiddenButton="1"/>
    <filterColumn colId="2" hiddenButton="1"/>
    <filterColumn colId="3" hiddenButton="1"/>
  </autoFilter>
  <tableColumns count="4">
    <tableColumn id="1" xr3:uid="{AA5001F6-E82F-4AD1-BB1C-2115CC1B704C}" name="TIME" dataDxfId="13"/>
    <tableColumn id="2" xr3:uid="{4C4B25DF-4EA4-4B49-9CA3-B05306154138}" name="ACC_X" dataDxfId="12"/>
    <tableColumn id="3" xr3:uid="{D76B82EA-8500-4263-A55D-220A69DA309C}" name="ACC_Y" dataDxfId="11"/>
    <tableColumn id="4" xr3:uid="{EA4B866B-6C68-4FFB-A427-4931B8D00D9C}" name="ACC_Z" dataDxfId="10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CB2766-951D-498B-9E40-391EC762D30C}" name="TBL_HST" displayName="TBL_HST" ref="A7:D22" totalsRowShown="0" headerRowDxfId="9" dataDxfId="8">
  <autoFilter ref="A7:D22" xr:uid="{85CB2766-951D-498B-9E40-391EC762D30C}">
    <filterColumn colId="0" hiddenButton="1"/>
    <filterColumn colId="1" hiddenButton="1"/>
    <filterColumn colId="2" hiddenButton="1"/>
    <filterColumn colId="3" hiddenButton="1"/>
  </autoFilter>
  <tableColumns count="4">
    <tableColumn id="1" xr3:uid="{B00F979D-BE54-4582-8BAD-9C2F3DB47DD5}" name="TIME" dataDxfId="7"/>
    <tableColumn id="2" xr3:uid="{2B4CF393-5B35-49EC-90BF-1030D08C3ADE}" name="ACC_X" dataDxfId="6"/>
    <tableColumn id="3" xr3:uid="{DECFE70A-804D-403A-85FE-3AC63BAE8497}" name="ACC_Y" dataDxfId="5"/>
    <tableColumn id="4" xr3:uid="{8EC57DDE-9A23-44FB-BC06-DDA8F370E0BE}" name="ACC_Z" dataDxfId="4"/>
  </tableColumns>
  <tableStyleInfo name="Invisi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D64CED-F6EC-448C-99D9-BB3E38EEC17C}" name="Table3" displayName="Table3" ref="A1:G16" totalsRowShown="0">
  <autoFilter ref="A1:G16" xr:uid="{23D64CED-F6EC-448C-99D9-BB3E38EEC17C}"/>
  <tableColumns count="7">
    <tableColumn id="1" xr3:uid="{7B13192B-CB65-410F-B37D-228C0E29C2A0}" name="TIME" dataDxfId="3">
      <calculatedColumnFormula>'Data In'!A8</calculatedColumnFormula>
    </tableColumn>
    <tableColumn id="2" xr3:uid="{398FF033-2F9A-480B-9556-840C2E8661B9}" name="ACC_X">
      <calculatedColumnFormula>'Data In'!B8</calculatedColumnFormula>
    </tableColumn>
    <tableColumn id="3" xr3:uid="{60D8AEB1-83D8-44D0-877D-D029920A78CF}" name="ACC_Y">
      <calculatedColumnFormula>'Data In'!C8</calculatedColumnFormula>
    </tableColumn>
    <tableColumn id="4" xr3:uid="{D3B891F5-0A9D-4B9B-ABB3-F83E32CFE472}" name="ACC_Z">
      <calculatedColumnFormula>'Data In'!D8</calculatedColumnFormula>
    </tableColumn>
    <tableColumn id="8" xr3:uid="{58969475-8D71-467E-9907-2AB00EBD6D6B}" name="Computed Roll" dataDxfId="2">
      <calculatedColumnFormula>ATAN2(Table3[[#This Row],[ACC_Y]],Table3[[#This Row],[ACC_Z]])</calculatedColumnFormula>
    </tableColumn>
    <tableColumn id="9" xr3:uid="{4513AA71-FD87-4DA3-BC51-A69464E30E55}" name="Computed Pitch" dataDxfId="1">
      <calculatedColumnFormula>ATAN2(-Table3[[#This Row],[ACC_X]],SQRT(Table3[[#This Row],[ACC_Y]]^2+Table3[[#This Row],[ACC_Z]]^2))</calculatedColumnFormula>
    </tableColumn>
    <tableColumn id="10" xr3:uid="{DBC4BBAA-349E-480C-9397-0906C348DC3E}" name="Computed Yaw" dataDxfId="0">
      <calculatedColumnFormula>ATAN2(Table3[[#This Row],[ACC_X]],Table3[[#This Row],[ACC_Y]])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11FA-58A4-42A7-AB54-404F66A9188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0C6A-52D2-445A-BBA0-4CCE372AAF95}">
  <dimension ref="A1:H22"/>
  <sheetViews>
    <sheetView workbookViewId="0">
      <selection activeCell="I10" sqref="I10"/>
    </sheetView>
  </sheetViews>
  <sheetFormatPr defaultRowHeight="14.5" x14ac:dyDescent="0.35"/>
  <cols>
    <col min="1" max="1" width="14.6328125" style="1" customWidth="1"/>
    <col min="2" max="4" width="10.6328125" style="1" customWidth="1"/>
    <col min="5" max="16384" width="8.7265625" style="1"/>
  </cols>
  <sheetData>
    <row r="1" spans="1:8" ht="29" x14ac:dyDescent="0.75">
      <c r="A1" s="34" t="s">
        <v>34</v>
      </c>
      <c r="B1" s="34"/>
      <c r="C1" s="34"/>
      <c r="D1" s="34"/>
      <c r="E1" s="34"/>
      <c r="F1" s="34"/>
      <c r="G1" s="34"/>
      <c r="H1" s="34"/>
    </row>
    <row r="2" spans="1:8" ht="16.5" x14ac:dyDescent="0.35">
      <c r="A2" s="35" t="s">
        <v>35</v>
      </c>
      <c r="B2" s="35"/>
      <c r="C2" s="35"/>
      <c r="D2" s="35"/>
      <c r="E2" s="35"/>
      <c r="F2" s="35"/>
      <c r="G2" s="35"/>
      <c r="H2" s="35"/>
    </row>
    <row r="3" spans="1:8" ht="33.5" customHeight="1" x14ac:dyDescent="0.55000000000000004">
      <c r="A3" s="36" t="s">
        <v>36</v>
      </c>
      <c r="B3" s="36"/>
      <c r="C3" s="36"/>
      <c r="D3" s="36"/>
    </row>
    <row r="4" spans="1:8" ht="16" x14ac:dyDescent="0.35">
      <c r="A4" s="23" t="s">
        <v>37</v>
      </c>
      <c r="B4" s="23" t="s">
        <v>13</v>
      </c>
      <c r="C4" s="23" t="s">
        <v>17</v>
      </c>
      <c r="D4" s="23" t="s">
        <v>19</v>
      </c>
    </row>
    <row r="5" spans="1:8" ht="19.5" customHeight="1" x14ac:dyDescent="0.35">
      <c r="A5" s="25">
        <v>45909.08522572917</v>
      </c>
      <c r="B5" s="24">
        <v>4.6066999435424798E-2</v>
      </c>
      <c r="C5" s="24">
        <v>-0.96901100873947099</v>
      </c>
      <c r="D5" s="24">
        <v>-0.18325600028038</v>
      </c>
    </row>
    <row r="6" spans="1:8" ht="33.5" customHeight="1" x14ac:dyDescent="0.55000000000000004">
      <c r="A6" s="37" t="s">
        <v>38</v>
      </c>
      <c r="B6" s="37"/>
      <c r="C6" s="37"/>
      <c r="D6" s="37"/>
    </row>
    <row r="7" spans="1:8" ht="16" x14ac:dyDescent="0.35">
      <c r="A7" s="23" t="s">
        <v>37</v>
      </c>
      <c r="B7" s="23" t="s">
        <v>13</v>
      </c>
      <c r="C7" s="23" t="s">
        <v>17</v>
      </c>
      <c r="D7" s="23" t="s">
        <v>19</v>
      </c>
    </row>
    <row r="8" spans="1:8" ht="19.5" customHeight="1" x14ac:dyDescent="0.35">
      <c r="A8" s="28">
        <v>45909.085219456021</v>
      </c>
      <c r="B8" s="26">
        <v>4.6066999435424798E-2</v>
      </c>
      <c r="C8" s="26">
        <v>-0.97291797399520896</v>
      </c>
      <c r="D8" s="26">
        <v>-0.194974005222321</v>
      </c>
    </row>
    <row r="9" spans="1:8" ht="19.5" customHeight="1" x14ac:dyDescent="0.35">
      <c r="A9" s="29">
        <v>45909.085220046298</v>
      </c>
      <c r="B9" s="27">
        <v>4.6066999435424798E-2</v>
      </c>
      <c r="C9" s="27">
        <v>-0.96901100873947099</v>
      </c>
      <c r="D9" s="27">
        <v>-0.18325600028038</v>
      </c>
    </row>
    <row r="10" spans="1:8" ht="19.5" customHeight="1" x14ac:dyDescent="0.35">
      <c r="A10" s="29">
        <v>45909.085220624998</v>
      </c>
      <c r="B10" s="27">
        <v>4.6066999435424798E-2</v>
      </c>
      <c r="C10" s="27">
        <v>-0.97291797399520896</v>
      </c>
      <c r="D10" s="27">
        <v>-0.179349005222321</v>
      </c>
    </row>
    <row r="11" spans="1:8" ht="19.5" customHeight="1" x14ac:dyDescent="0.35">
      <c r="A11" s="29">
        <v>45909.085221122688</v>
      </c>
      <c r="B11" s="27">
        <v>4.6066999435424798E-2</v>
      </c>
      <c r="C11" s="27">
        <v>-0.97291797399520896</v>
      </c>
      <c r="D11" s="27">
        <v>-0.18716199696064001</v>
      </c>
    </row>
    <row r="12" spans="1:8" ht="19.5" customHeight="1" x14ac:dyDescent="0.35">
      <c r="A12" s="29">
        <v>45909.085221909721</v>
      </c>
      <c r="B12" s="27">
        <v>4.6066999435424798E-2</v>
      </c>
      <c r="C12" s="27">
        <v>-0.97291797399520896</v>
      </c>
      <c r="D12" s="27">
        <v>-0.194974005222321</v>
      </c>
    </row>
    <row r="13" spans="1:8" ht="19.5" customHeight="1" x14ac:dyDescent="0.35">
      <c r="A13" s="29">
        <v>45909.085222488429</v>
      </c>
      <c r="B13" s="27">
        <v>4.6066999435424798E-2</v>
      </c>
      <c r="C13" s="27">
        <v>-0.97291797399520896</v>
      </c>
      <c r="D13" s="27">
        <v>-0.18325600028038</v>
      </c>
    </row>
    <row r="14" spans="1:8" ht="19.5" customHeight="1" x14ac:dyDescent="0.35">
      <c r="A14" s="29">
        <v>45909.08522306713</v>
      </c>
      <c r="B14" s="27">
        <v>4.6066999435424798E-2</v>
      </c>
      <c r="C14" s="27">
        <v>-0.97291797399520896</v>
      </c>
      <c r="D14" s="27">
        <v>-0.179349005222321</v>
      </c>
    </row>
    <row r="15" spans="1:8" ht="19.5" customHeight="1" x14ac:dyDescent="0.35">
      <c r="A15" s="29">
        <v>45909.085223715279</v>
      </c>
      <c r="B15" s="27">
        <v>4.6066999435424798E-2</v>
      </c>
      <c r="C15" s="27">
        <v>-0.97291797399520896</v>
      </c>
      <c r="D15" s="27">
        <v>-0.18716199696064001</v>
      </c>
    </row>
    <row r="16" spans="1:8" ht="19.5" customHeight="1" x14ac:dyDescent="0.35">
      <c r="A16" s="29">
        <v>45909.085224444447</v>
      </c>
      <c r="B16" s="27">
        <v>4.6066999435424798E-2</v>
      </c>
      <c r="C16" s="27">
        <v>-0.96901100873947099</v>
      </c>
      <c r="D16" s="27">
        <v>-0.194974005222321</v>
      </c>
    </row>
    <row r="17" spans="1:4" ht="19.5" customHeight="1" x14ac:dyDescent="0.35">
      <c r="A17" s="29">
        <v>45909.085225115741</v>
      </c>
      <c r="B17" s="27">
        <v>4.6066999435424798E-2</v>
      </c>
      <c r="C17" s="27">
        <v>-0.97291797399520896</v>
      </c>
      <c r="D17" s="27">
        <v>-0.18325600028038</v>
      </c>
    </row>
    <row r="18" spans="1:4" ht="19.5" customHeight="1" x14ac:dyDescent="0.35">
      <c r="A18" s="29">
        <v>45909.08522572917</v>
      </c>
      <c r="B18" s="27">
        <v>4.6066999435424798E-2</v>
      </c>
      <c r="C18" s="27">
        <v>-0.96901100873947099</v>
      </c>
      <c r="D18" s="27">
        <v>-0.18325600028038</v>
      </c>
    </row>
    <row r="19" spans="1:4" ht="19.5" customHeight="1" x14ac:dyDescent="0.35">
      <c r="A19" s="29">
        <v>45909.08522641204</v>
      </c>
      <c r="B19" s="27">
        <v>4.6066999435424798E-2</v>
      </c>
      <c r="C19" s="27">
        <v>-0.97291797399520896</v>
      </c>
      <c r="D19" s="27">
        <v>-0.18716199696064001</v>
      </c>
    </row>
    <row r="20" spans="1:4" ht="19.5" customHeight="1" x14ac:dyDescent="0.35">
      <c r="A20" s="29">
        <v>45909.085226932868</v>
      </c>
      <c r="B20" s="27">
        <v>4.6066999435424798E-2</v>
      </c>
      <c r="C20" s="27">
        <v>-0.96901100873947099</v>
      </c>
      <c r="D20" s="27">
        <v>-0.19106799364089999</v>
      </c>
    </row>
    <row r="21" spans="1:4" ht="19.5" customHeight="1" x14ac:dyDescent="0.35">
      <c r="A21" s="29">
        <v>45909.085227581018</v>
      </c>
      <c r="B21" s="27">
        <v>4.9972999840974801E-2</v>
      </c>
      <c r="C21" s="27">
        <v>-0.97291797399520896</v>
      </c>
      <c r="D21" s="27">
        <v>-0.18716199696064001</v>
      </c>
    </row>
    <row r="22" spans="1:4" ht="19.5" customHeight="1" x14ac:dyDescent="0.35">
      <c r="A22" s="30">
        <v>45909.085228124997</v>
      </c>
      <c r="B22" s="31">
        <v>4.6066999435424798E-2</v>
      </c>
      <c r="C22" s="31">
        <v>-0.97291797399520896</v>
      </c>
      <c r="D22" s="31">
        <v>-0.18325600028038</v>
      </c>
    </row>
  </sheetData>
  <mergeCells count="4">
    <mergeCell ref="A1:H1"/>
    <mergeCell ref="A2:H2"/>
    <mergeCell ref="A3:D3"/>
    <mergeCell ref="A6:D6"/>
  </mergeCells>
  <dataValidations count="8">
    <dataValidation allowBlank="1" showInputMessage="1" showErrorMessage="1" prompt="Time_x000d__x000a__x000d__x000a_TBL_CUR[TIME]" sqref="A5" xr:uid="{E9239E22-32B4-4C3B-ADE7-5D8D5A1D6794}"/>
    <dataValidation allowBlank="1" showInputMessage="1" showErrorMessage="1" prompt="G-force acceleration along the x-axis_x000d__x000a__x000d__x000a_TBL_CUR[ACC_X]" sqref="B5" xr:uid="{047F8CCE-66E1-48C7-84BD-9909FA63039B}"/>
    <dataValidation allowBlank="1" showInputMessage="1" showErrorMessage="1" prompt="G-force acceleration along the y-axis_x000d__x000a__x000d__x000a_TBL_CUR[ACC_Y]" sqref="C5" xr:uid="{823EAD23-F6A6-416D-ACFF-1400A777ABB0}"/>
    <dataValidation allowBlank="1" showInputMessage="1" showErrorMessage="1" prompt="G-force acceleration along the z-axis_x000d__x000a__x000d__x000a_TBL_CUR[ACC_Z]" sqref="D5" xr:uid="{DA6EF310-724D-4070-B029-AD2781BE208E}"/>
    <dataValidation allowBlank="1" showInputMessage="1" showErrorMessage="1" prompt="Time_x000d__x000a__x000d__x000a_TBL_HST[TIME]" sqref="A8:A22" xr:uid="{F5497E29-9F09-4DB5-972C-6A4FD9B12253}"/>
    <dataValidation allowBlank="1" showInputMessage="1" showErrorMessage="1" prompt="G-force acceleration along the x-axis_x000d__x000a__x000d__x000a_TBL_HST[ACC_X]" sqref="B8:B22" xr:uid="{74304DCE-D3AE-4F96-BC71-F3E83AA03C8A}"/>
    <dataValidation allowBlank="1" showInputMessage="1" showErrorMessage="1" prompt="G-force acceleration along the y-axis_x000d__x000a__x000d__x000a_TBL_HST[ACC_Y]" sqref="C8:C22" xr:uid="{6B28727C-0A98-4E5A-BFEA-0D4F3AF08570}"/>
    <dataValidation allowBlank="1" showInputMessage="1" showErrorMessage="1" prompt="G-force acceleration along the z-axis_x000d__x000a__x000d__x000a_TBL_HST[ACC_Z]" sqref="D8:D22" xr:uid="{8ED71F13-AC6D-48AF-A980-AAAA8FDED550}"/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3823-6EC1-40AD-95F0-C205A55B93B4}">
  <dimension ref="A1:G16"/>
  <sheetViews>
    <sheetView showGridLines="0" tabSelected="1" workbookViewId="0">
      <selection activeCell="L18" sqref="L18"/>
    </sheetView>
  </sheetViews>
  <sheetFormatPr defaultRowHeight="14.5" x14ac:dyDescent="0.35"/>
  <cols>
    <col min="1" max="1" width="9.81640625" bestFit="1" customWidth="1"/>
    <col min="2" max="2" width="14.453125" customWidth="1"/>
    <col min="3" max="3" width="14.1796875" customWidth="1"/>
    <col min="4" max="4" width="14.54296875" customWidth="1"/>
    <col min="5" max="5" width="15.6328125" bestFit="1" customWidth="1"/>
    <col min="6" max="6" width="16.7265625" bestFit="1" customWidth="1"/>
    <col min="7" max="7" width="15.81640625" bestFit="1" customWidth="1"/>
  </cols>
  <sheetData>
    <row r="1" spans="1:7" x14ac:dyDescent="0.35">
      <c r="A1" t="s">
        <v>37</v>
      </c>
      <c r="B1" t="s">
        <v>13</v>
      </c>
      <c r="C1" t="s">
        <v>17</v>
      </c>
      <c r="D1" t="s">
        <v>19</v>
      </c>
      <c r="E1" t="s">
        <v>39</v>
      </c>
      <c r="F1" t="s">
        <v>40</v>
      </c>
      <c r="G1" t="s">
        <v>41</v>
      </c>
    </row>
    <row r="2" spans="1:7" x14ac:dyDescent="0.35">
      <c r="A2" s="32">
        <f>'Data In'!A8</f>
        <v>45909.085219456021</v>
      </c>
      <c r="B2">
        <f>'Data In'!B8</f>
        <v>4.6066999435424798E-2</v>
      </c>
      <c r="C2">
        <f>'Data In'!C8</f>
        <v>-0.97291797399520896</v>
      </c>
      <c r="D2">
        <f>'Data In'!D8</f>
        <v>-0.194974005222321</v>
      </c>
      <c r="E2" s="33">
        <f>ATAN2(Table3[[#This Row],[ACC_Y]],Table3[[#This Row],[ACC_Z]])</f>
        <v>-2.9438112794547902</v>
      </c>
      <c r="F2" s="33">
        <f>ATAN2(-Table3[[#This Row],[ACC_X]],SQRT(Table3[[#This Row],[ACC_Y]]^2+Table3[[#This Row],[ACC_Z]]^2))</f>
        <v>1.6171892512285251</v>
      </c>
      <c r="G2" s="33">
        <f>ATAN2(Table3[[#This Row],[ACC_X]],Table3[[#This Row],[ACC_Y]])</f>
        <v>-1.5234823495137568</v>
      </c>
    </row>
    <row r="3" spans="1:7" x14ac:dyDescent="0.35">
      <c r="A3" s="32">
        <f>'Data In'!A9</f>
        <v>45909.085220046298</v>
      </c>
      <c r="B3">
        <f>'Data In'!B9</f>
        <v>4.6066999435424798E-2</v>
      </c>
      <c r="C3">
        <f>'Data In'!C9</f>
        <v>-0.96901100873947099</v>
      </c>
      <c r="D3">
        <f>'Data In'!D9</f>
        <v>-0.18325600028038</v>
      </c>
      <c r="E3" s="33">
        <f>ATAN2(Table3[[#This Row],[ACC_Y]],Table3[[#This Row],[ACC_Z]])</f>
        <v>-2.9546835322279583</v>
      </c>
      <c r="F3" s="33">
        <f>ATAN2(-Table3[[#This Row],[ACC_X]],SQRT(Table3[[#This Row],[ACC_Y]]^2+Table3[[#This Row],[ACC_Z]]^2))</f>
        <v>1.6174746237391866</v>
      </c>
      <c r="G3" s="33">
        <f>ATAN2(Table3[[#This Row],[ACC_X]],Table3[[#This Row],[ACC_Y]])</f>
        <v>-1.5232918701048792</v>
      </c>
    </row>
    <row r="4" spans="1:7" x14ac:dyDescent="0.35">
      <c r="A4" s="32">
        <f>'Data In'!A10</f>
        <v>45909.085220624998</v>
      </c>
      <c r="B4">
        <f>'Data In'!B10</f>
        <v>4.6066999435424798E-2</v>
      </c>
      <c r="C4">
        <f>'Data In'!C10</f>
        <v>-0.97291797399520896</v>
      </c>
      <c r="D4">
        <f>'Data In'!D10</f>
        <v>-0.179349005222321</v>
      </c>
      <c r="E4" s="33">
        <f>ATAN2(Table3[[#This Row],[ACC_Y]],Table3[[#This Row],[ACC_Z]])</f>
        <v>-2.9592978234915286</v>
      </c>
      <c r="F4" s="33">
        <f>ATAN2(-Table3[[#This Row],[ACC_X]],SQRT(Table3[[#This Row],[ACC_Y]]^2+Table3[[#This Row],[ACC_Z]]^2))</f>
        <v>1.6173274644180669</v>
      </c>
      <c r="G4" s="33">
        <f>ATAN2(Table3[[#This Row],[ACC_X]],Table3[[#This Row],[ACC_Y]])</f>
        <v>-1.5234823495137568</v>
      </c>
    </row>
    <row r="5" spans="1:7" x14ac:dyDescent="0.35">
      <c r="A5" s="32">
        <f>'Data In'!A11</f>
        <v>45909.085221122688</v>
      </c>
      <c r="B5">
        <f>'Data In'!B11</f>
        <v>4.6066999435424798E-2</v>
      </c>
      <c r="C5">
        <f>'Data In'!C11</f>
        <v>-0.97291797399520896</v>
      </c>
      <c r="D5">
        <f>'Data In'!D11</f>
        <v>-0.18716199696064001</v>
      </c>
      <c r="E5" s="33">
        <f>ATAN2(Table3[[#This Row],[ACC_Y]],Table3[[#This Row],[ACC_Z]])</f>
        <v>-2.9515425300903999</v>
      </c>
      <c r="F5" s="33">
        <f>ATAN2(-Table3[[#This Row],[ACC_X]],SQRT(Table3[[#This Row],[ACC_Y]]^2+Table3[[#This Row],[ACC_Z]]^2))</f>
        <v>1.6172596416756255</v>
      </c>
      <c r="G5" s="33">
        <f>ATAN2(Table3[[#This Row],[ACC_X]],Table3[[#This Row],[ACC_Y]])</f>
        <v>-1.5234823495137568</v>
      </c>
    </row>
    <row r="6" spans="1:7" x14ac:dyDescent="0.35">
      <c r="A6" s="32">
        <f>'Data In'!A12</f>
        <v>45909.085221909721</v>
      </c>
      <c r="B6">
        <f>'Data In'!B12</f>
        <v>4.6066999435424798E-2</v>
      </c>
      <c r="C6">
        <f>'Data In'!C12</f>
        <v>-0.97291797399520896</v>
      </c>
      <c r="D6">
        <f>'Data In'!D12</f>
        <v>-0.194974005222321</v>
      </c>
      <c r="E6" s="33">
        <f>ATAN2(Table3[[#This Row],[ACC_Y]],Table3[[#This Row],[ACC_Z]])</f>
        <v>-2.9438112794547902</v>
      </c>
      <c r="F6" s="33">
        <f>ATAN2(-Table3[[#This Row],[ACC_X]],SQRT(Table3[[#This Row],[ACC_Y]]^2+Table3[[#This Row],[ACC_Z]]^2))</f>
        <v>1.6171892512285251</v>
      </c>
      <c r="G6" s="33">
        <f>ATAN2(Table3[[#This Row],[ACC_X]],Table3[[#This Row],[ACC_Y]])</f>
        <v>-1.5234823495137568</v>
      </c>
    </row>
    <row r="7" spans="1:7" x14ac:dyDescent="0.35">
      <c r="A7" s="32">
        <f>'Data In'!A13</f>
        <v>45909.085222488429</v>
      </c>
      <c r="B7">
        <f>'Data In'!B13</f>
        <v>4.6066999435424798E-2</v>
      </c>
      <c r="C7">
        <f>'Data In'!C13</f>
        <v>-0.97291797399520896</v>
      </c>
      <c r="D7">
        <f>'Data In'!D13</f>
        <v>-0.18325600028038</v>
      </c>
      <c r="E7" s="33">
        <f>ATAN2(Table3[[#This Row],[ACC_Y]],Table3[[#This Row],[ACC_Z]])</f>
        <v>-2.955416849145438</v>
      </c>
      <c r="F7" s="33">
        <f>ATAN2(-Table3[[#This Row],[ACC_X]],SQRT(Table3[[#This Row],[ACC_Y]]^2+Table3[[#This Row],[ACC_Z]]^2))</f>
        <v>1.6172938730666557</v>
      </c>
      <c r="G7" s="33">
        <f>ATAN2(Table3[[#This Row],[ACC_X]],Table3[[#This Row],[ACC_Y]])</f>
        <v>-1.5234823495137568</v>
      </c>
    </row>
    <row r="8" spans="1:7" x14ac:dyDescent="0.35">
      <c r="A8" s="32">
        <f>'Data In'!A14</f>
        <v>45909.08522306713</v>
      </c>
      <c r="B8">
        <f>'Data In'!B14</f>
        <v>4.6066999435424798E-2</v>
      </c>
      <c r="C8">
        <f>'Data In'!C14</f>
        <v>-0.97291797399520896</v>
      </c>
      <c r="D8">
        <f>'Data In'!D14</f>
        <v>-0.179349005222321</v>
      </c>
      <c r="E8" s="33">
        <f>ATAN2(Table3[[#This Row],[ACC_Y]],Table3[[#This Row],[ACC_Z]])</f>
        <v>-2.9592978234915286</v>
      </c>
      <c r="F8" s="33">
        <f>ATAN2(-Table3[[#This Row],[ACC_X]],SQRT(Table3[[#This Row],[ACC_Y]]^2+Table3[[#This Row],[ACC_Z]]^2))</f>
        <v>1.6173274644180669</v>
      </c>
      <c r="G8" s="33">
        <f>ATAN2(Table3[[#This Row],[ACC_X]],Table3[[#This Row],[ACC_Y]])</f>
        <v>-1.5234823495137568</v>
      </c>
    </row>
    <row r="9" spans="1:7" x14ac:dyDescent="0.35">
      <c r="A9" s="32">
        <f>'Data In'!A15</f>
        <v>45909.085223715279</v>
      </c>
      <c r="B9">
        <f>'Data In'!B15</f>
        <v>4.6066999435424798E-2</v>
      </c>
      <c r="C9">
        <f>'Data In'!C15</f>
        <v>-0.97291797399520896</v>
      </c>
      <c r="D9">
        <f>'Data In'!D15</f>
        <v>-0.18716199696064001</v>
      </c>
      <c r="E9" s="33">
        <f>ATAN2(Table3[[#This Row],[ACC_Y]],Table3[[#This Row],[ACC_Z]])</f>
        <v>-2.9515425300903999</v>
      </c>
      <c r="F9" s="33">
        <f>ATAN2(-Table3[[#This Row],[ACC_X]],SQRT(Table3[[#This Row],[ACC_Y]]^2+Table3[[#This Row],[ACC_Z]]^2))</f>
        <v>1.6172596416756255</v>
      </c>
      <c r="G9" s="33">
        <f>ATAN2(Table3[[#This Row],[ACC_X]],Table3[[#This Row],[ACC_Y]])</f>
        <v>-1.5234823495137568</v>
      </c>
    </row>
    <row r="10" spans="1:7" x14ac:dyDescent="0.35">
      <c r="A10" s="32">
        <f>'Data In'!A16</f>
        <v>45909.085224444447</v>
      </c>
      <c r="B10">
        <f>'Data In'!B16</f>
        <v>4.6066999435424798E-2</v>
      </c>
      <c r="C10">
        <f>'Data In'!C16</f>
        <v>-0.96901100873947099</v>
      </c>
      <c r="D10">
        <f>'Data In'!D16</f>
        <v>-0.194974005222321</v>
      </c>
      <c r="E10" s="33">
        <f>ATAN2(Table3[[#This Row],[ACC_Y]],Table3[[#This Row],[ACC_Z]])</f>
        <v>-2.9430345975169785</v>
      </c>
      <c r="F10" s="33">
        <f>ATAN2(-Table3[[#This Row],[ACC_X]],SQRT(Table3[[#This Row],[ACC_Y]]^2+Table3[[#This Row],[ACC_Z]]^2))</f>
        <v>1.6173687798376</v>
      </c>
      <c r="G10" s="33">
        <f>ATAN2(Table3[[#This Row],[ACC_X]],Table3[[#This Row],[ACC_Y]])</f>
        <v>-1.5232918701048792</v>
      </c>
    </row>
    <row r="11" spans="1:7" x14ac:dyDescent="0.35">
      <c r="A11" s="32">
        <f>'Data In'!A17</f>
        <v>45909.085225115741</v>
      </c>
      <c r="B11">
        <f>'Data In'!B17</f>
        <v>4.6066999435424798E-2</v>
      </c>
      <c r="C11">
        <f>'Data In'!C17</f>
        <v>-0.97291797399520896</v>
      </c>
      <c r="D11">
        <f>'Data In'!D17</f>
        <v>-0.18325600028038</v>
      </c>
      <c r="E11" s="33">
        <f>ATAN2(Table3[[#This Row],[ACC_Y]],Table3[[#This Row],[ACC_Z]])</f>
        <v>-2.955416849145438</v>
      </c>
      <c r="F11" s="33">
        <f>ATAN2(-Table3[[#This Row],[ACC_X]],SQRT(Table3[[#This Row],[ACC_Y]]^2+Table3[[#This Row],[ACC_Z]]^2))</f>
        <v>1.6172938730666557</v>
      </c>
      <c r="G11" s="33">
        <f>ATAN2(Table3[[#This Row],[ACC_X]],Table3[[#This Row],[ACC_Y]])</f>
        <v>-1.5234823495137568</v>
      </c>
    </row>
    <row r="12" spans="1:7" x14ac:dyDescent="0.35">
      <c r="A12" s="32">
        <f>'Data In'!A18</f>
        <v>45909.08522572917</v>
      </c>
      <c r="B12">
        <f>'Data In'!B18</f>
        <v>4.6066999435424798E-2</v>
      </c>
      <c r="C12">
        <f>'Data In'!C18</f>
        <v>-0.96901100873947099</v>
      </c>
      <c r="D12">
        <f>'Data In'!D18</f>
        <v>-0.18325600028038</v>
      </c>
      <c r="E12" s="33">
        <f>ATAN2(Table3[[#This Row],[ACC_Y]],Table3[[#This Row],[ACC_Z]])</f>
        <v>-2.9546835322279583</v>
      </c>
      <c r="F12" s="33">
        <f>ATAN2(-Table3[[#This Row],[ACC_X]],SQRT(Table3[[#This Row],[ACC_Y]]^2+Table3[[#This Row],[ACC_Z]]^2))</f>
        <v>1.6174746237391866</v>
      </c>
      <c r="G12" s="33">
        <f>ATAN2(Table3[[#This Row],[ACC_X]],Table3[[#This Row],[ACC_Y]])</f>
        <v>-1.5232918701048792</v>
      </c>
    </row>
    <row r="13" spans="1:7" x14ac:dyDescent="0.35">
      <c r="A13" s="32">
        <f>'Data In'!A19</f>
        <v>45909.08522641204</v>
      </c>
      <c r="B13">
        <f>'Data In'!B19</f>
        <v>4.6066999435424798E-2</v>
      </c>
      <c r="C13">
        <f>'Data In'!C19</f>
        <v>-0.97291797399520896</v>
      </c>
      <c r="D13">
        <f>'Data In'!D19</f>
        <v>-0.18716199696064001</v>
      </c>
      <c r="E13" s="33">
        <f>ATAN2(Table3[[#This Row],[ACC_Y]],Table3[[#This Row],[ACC_Z]])</f>
        <v>-2.9515425300903999</v>
      </c>
      <c r="F13" s="33">
        <f>ATAN2(-Table3[[#This Row],[ACC_X]],SQRT(Table3[[#This Row],[ACC_Y]]^2+Table3[[#This Row],[ACC_Z]]^2))</f>
        <v>1.6172596416756255</v>
      </c>
      <c r="G13" s="33">
        <f>ATAN2(Table3[[#This Row],[ACC_X]],Table3[[#This Row],[ACC_Y]])</f>
        <v>-1.5234823495137568</v>
      </c>
    </row>
    <row r="14" spans="1:7" x14ac:dyDescent="0.35">
      <c r="A14" s="32">
        <f>'Data In'!A20</f>
        <v>45909.085226932868</v>
      </c>
      <c r="B14">
        <f>'Data In'!B20</f>
        <v>4.6066999435424798E-2</v>
      </c>
      <c r="C14">
        <f>'Data In'!C20</f>
        <v>-0.96901100873947099</v>
      </c>
      <c r="D14">
        <f>'Data In'!D20</f>
        <v>-0.19106799364089999</v>
      </c>
      <c r="E14" s="33">
        <f>ATAN2(Table3[[#This Row],[ACC_Y]],Table3[[#This Row],[ACC_Z]])</f>
        <v>-2.9469116832868676</v>
      </c>
      <c r="F14" s="33">
        <f>ATAN2(-Table3[[#This Row],[ACC_X]],SQRT(Table3[[#This Row],[ACC_Y]]^2+Table3[[#This Row],[ACC_Z]]^2))</f>
        <v>1.6174047090795389</v>
      </c>
      <c r="G14" s="33">
        <f>ATAN2(Table3[[#This Row],[ACC_X]],Table3[[#This Row],[ACC_Y]])</f>
        <v>-1.5232918701048792</v>
      </c>
    </row>
    <row r="15" spans="1:7" x14ac:dyDescent="0.35">
      <c r="A15" s="32">
        <f>'Data In'!A21</f>
        <v>45909.085227581018</v>
      </c>
      <c r="B15">
        <f>'Data In'!B21</f>
        <v>4.9972999840974801E-2</v>
      </c>
      <c r="C15">
        <f>'Data In'!C21</f>
        <v>-0.97291797399520896</v>
      </c>
      <c r="D15">
        <f>'Data In'!D21</f>
        <v>-0.18716199696064001</v>
      </c>
      <c r="E15" s="33">
        <f>ATAN2(Table3[[#This Row],[ACC_Y]],Table3[[#This Row],[ACC_Z]])</f>
        <v>-2.9515425300903999</v>
      </c>
      <c r="F15" s="33">
        <f>ATAN2(-Table3[[#This Row],[ACC_X]],SQRT(Table3[[#This Row],[ACC_Y]]^2+Table3[[#This Row],[ACC_Z]]^2))</f>
        <v>1.621192838229182</v>
      </c>
      <c r="G15" s="33">
        <f>ATAN2(Table3[[#This Row],[ACC_X]],Table3[[#This Row],[ACC_Y]])</f>
        <v>-1.5194773839080626</v>
      </c>
    </row>
    <row r="16" spans="1:7" x14ac:dyDescent="0.35">
      <c r="A16" s="32">
        <f>'Data In'!A22</f>
        <v>45909.085228124997</v>
      </c>
      <c r="B16">
        <f>'Data In'!B22</f>
        <v>4.6066999435424798E-2</v>
      </c>
      <c r="C16">
        <f>'Data In'!C22</f>
        <v>-0.97291797399520896</v>
      </c>
      <c r="D16">
        <f>'Data In'!D22</f>
        <v>-0.18325600028038</v>
      </c>
      <c r="E16" s="33">
        <f>ATAN2(Table3[[#This Row],[ACC_Y]],Table3[[#This Row],[ACC_Z]])</f>
        <v>-2.955416849145438</v>
      </c>
      <c r="F16" s="33">
        <f>ATAN2(-Table3[[#This Row],[ACC_X]],SQRT(Table3[[#This Row],[ACC_Y]]^2+Table3[[#This Row],[ACC_Z]]^2))</f>
        <v>1.6172938730666557</v>
      </c>
      <c r="G16" s="33">
        <f>ATAN2(Table3[[#This Row],[ACC_X]],Table3[[#This Row],[ACC_Y]])</f>
        <v>-1.5234823495137568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806F-D5C7-411A-BF1B-23C6C3A8BF4F}">
  <dimension ref="A1:H5"/>
  <sheetViews>
    <sheetView workbookViewId="0">
      <selection sqref="A1:H1"/>
    </sheetView>
  </sheetViews>
  <sheetFormatPr defaultRowHeight="14.5" x14ac:dyDescent="0.35"/>
  <cols>
    <col min="1" max="3" width="11.453125" customWidth="1"/>
  </cols>
  <sheetData>
    <row r="1" spans="1:8" ht="29" x14ac:dyDescent="0.75">
      <c r="A1" s="38" t="s">
        <v>29</v>
      </c>
      <c r="B1" s="38"/>
      <c r="C1" s="38"/>
      <c r="D1" s="38"/>
      <c r="E1" s="38"/>
      <c r="F1" s="38"/>
      <c r="G1" s="38"/>
      <c r="H1" s="38"/>
    </row>
    <row r="2" spans="1:8" ht="16.5" x14ac:dyDescent="0.35">
      <c r="A2" s="39" t="s">
        <v>30</v>
      </c>
      <c r="B2" s="39"/>
      <c r="C2" s="39"/>
      <c r="D2" s="39"/>
      <c r="E2" s="39"/>
      <c r="F2" s="39"/>
      <c r="G2" s="39"/>
      <c r="H2" s="39"/>
    </row>
    <row r="3" spans="1:8" ht="17.5" customHeight="1" x14ac:dyDescent="0.35"/>
    <row r="4" spans="1:8" ht="19.5" customHeight="1" x14ac:dyDescent="0.35">
      <c r="A4" s="20" t="s">
        <v>31</v>
      </c>
      <c r="B4" s="21" t="s">
        <v>32</v>
      </c>
      <c r="C4" s="21" t="s">
        <v>33</v>
      </c>
    </row>
    <row r="5" spans="1:8" ht="27" customHeight="1" x14ac:dyDescent="0.35">
      <c r="A5" s="22"/>
      <c r="B5" s="22"/>
      <c r="C5" s="22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F4F8-AF6C-4D2A-B716-39DFB65EA589}">
  <dimension ref="A1:E13"/>
  <sheetViews>
    <sheetView workbookViewId="0">
      <selection sqref="A1:E1"/>
    </sheetView>
  </sheetViews>
  <sheetFormatPr defaultRowHeight="14.5" x14ac:dyDescent="0.35"/>
  <cols>
    <col min="1" max="1" width="30.6328125" style="15" customWidth="1"/>
    <col min="2" max="2" width="0.1796875" style="15" customWidth="1"/>
    <col min="3" max="3" width="30.6328125" style="15" customWidth="1"/>
    <col min="4" max="16384" width="8.7265625" style="15"/>
  </cols>
  <sheetData>
    <row r="1" spans="1:5" ht="29" x14ac:dyDescent="0.75">
      <c r="A1" s="40" t="s">
        <v>21</v>
      </c>
      <c r="B1" s="40"/>
      <c r="C1" s="40"/>
      <c r="D1" s="40"/>
      <c r="E1" s="40"/>
    </row>
    <row r="2" spans="1:5" ht="50" customHeight="1" x14ac:dyDescent="0.35">
      <c r="A2" s="41" t="s">
        <v>22</v>
      </c>
      <c r="B2" s="41"/>
      <c r="C2" s="41"/>
      <c r="D2" s="41"/>
      <c r="E2" s="41"/>
    </row>
    <row r="3" spans="1:5" ht="4.5" customHeight="1" x14ac:dyDescent="0.35"/>
    <row r="4" spans="1:5" ht="24" customHeight="1" x14ac:dyDescent="0.35">
      <c r="A4" s="16" t="s">
        <v>23</v>
      </c>
      <c r="B4" s="18">
        <v>150</v>
      </c>
      <c r="C4" s="4">
        <v>40</v>
      </c>
    </row>
    <row r="5" spans="1:5" ht="4.5" customHeight="1" x14ac:dyDescent="0.35"/>
    <row r="6" spans="1:5" ht="24" customHeight="1" x14ac:dyDescent="0.35">
      <c r="A6" s="16" t="s">
        <v>24</v>
      </c>
      <c r="B6" s="17">
        <v>15</v>
      </c>
      <c r="C6" s="19">
        <v>15</v>
      </c>
    </row>
    <row r="7" spans="1:5" ht="4.5" customHeight="1" x14ac:dyDescent="0.35"/>
    <row r="8" spans="1:5" ht="24" customHeight="1" x14ac:dyDescent="0.35">
      <c r="A8" s="16" t="s">
        <v>25</v>
      </c>
      <c r="B8" s="18">
        <v>10</v>
      </c>
      <c r="C8" s="4">
        <v>3</v>
      </c>
    </row>
    <row r="9" spans="1:5" ht="4.5" customHeight="1" x14ac:dyDescent="0.35"/>
    <row r="10" spans="1:5" ht="24" customHeight="1" x14ac:dyDescent="0.35">
      <c r="A10" s="16" t="s">
        <v>26</v>
      </c>
      <c r="B10" s="17" t="s">
        <v>27</v>
      </c>
      <c r="C10" s="19" t="s">
        <v>27</v>
      </c>
    </row>
    <row r="13" spans="1:5" ht="50" customHeight="1" x14ac:dyDescent="0.35">
      <c r="A13" s="42" t="s">
        <v>28</v>
      </c>
      <c r="B13" s="42"/>
      <c r="C13" s="42"/>
      <c r="D13" s="42"/>
      <c r="E13" s="42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9F9C62DE-EBF7-48D5-A159-00AA645763B1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816D88D8-047C-4913-B136-981E57D9A0EC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28B944BD-39B2-485C-ADEC-9116C219B026}">
      <formula1>1</formula1>
      <formula2>1000</formula2>
    </dataValidation>
    <dataValidation type="list" errorStyle="information" allowBlank="1" showInputMessage="1" sqref="C10" xr:uid="{43164EE8-D2CD-4844-A5CE-F48F19BBF9B5}">
      <formula1>"Newest first,Newest last"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7B6B-A10B-4454-9D44-2E78FC572F46}">
  <dimension ref="A1:L10"/>
  <sheetViews>
    <sheetView workbookViewId="0">
      <selection sqref="A1:H1"/>
    </sheetView>
  </sheetViews>
  <sheetFormatPr defaultRowHeight="14.5" x14ac:dyDescent="0.35"/>
  <cols>
    <col min="1" max="3" width="3.6328125" style="2" customWidth="1"/>
    <col min="4" max="4" width="14.6328125" style="2" customWidth="1"/>
    <col min="5" max="5" width="18.6328125" style="2" customWidth="1"/>
    <col min="6" max="6" width="60.6328125" style="2" customWidth="1"/>
    <col min="7" max="7" width="16.6328125" style="2" customWidth="1"/>
    <col min="8" max="8" width="12.6328125" style="2" customWidth="1"/>
    <col min="9" max="9" width="8.7265625" style="2"/>
    <col min="10" max="10" width="16.6328125" style="2" customWidth="1"/>
    <col min="11" max="11" width="60.6328125" style="2" customWidth="1"/>
    <col min="12" max="16384" width="8.7265625" style="2"/>
  </cols>
  <sheetData>
    <row r="1" spans="1:12" ht="29" x14ac:dyDescent="0.75">
      <c r="A1" s="46" t="s">
        <v>4</v>
      </c>
      <c r="B1" s="46"/>
      <c r="C1" s="46"/>
      <c r="D1" s="46"/>
      <c r="E1" s="46"/>
      <c r="F1" s="46"/>
      <c r="G1" s="46"/>
      <c r="H1" s="46"/>
    </row>
    <row r="2" spans="1:12" ht="48" customHeight="1" x14ac:dyDescent="0.35">
      <c r="A2" s="47" t="s">
        <v>5</v>
      </c>
      <c r="B2" s="47"/>
      <c r="C2" s="47"/>
      <c r="D2" s="47"/>
      <c r="E2" s="47"/>
      <c r="F2" s="47"/>
      <c r="G2" s="47"/>
      <c r="H2" s="47"/>
    </row>
    <row r="3" spans="1:12" ht="26" customHeight="1" x14ac:dyDescent="0.7">
      <c r="B3" s="43" t="s">
        <v>0</v>
      </c>
      <c r="C3" s="43"/>
      <c r="D3" s="43"/>
      <c r="E3" s="43"/>
      <c r="F3" s="43"/>
      <c r="G3" s="43"/>
      <c r="H3" s="43"/>
      <c r="I3" s="43"/>
    </row>
    <row r="4" spans="1:12" ht="26" customHeight="1" x14ac:dyDescent="0.45">
      <c r="B4" s="48" t="s">
        <v>6</v>
      </c>
      <c r="C4" s="48"/>
      <c r="D4" s="48"/>
      <c r="E4" s="48"/>
      <c r="F4" s="48"/>
      <c r="G4" s="48"/>
      <c r="H4" s="48"/>
      <c r="J4" s="44" t="s">
        <v>1</v>
      </c>
      <c r="K4" s="44"/>
    </row>
    <row r="5" spans="1:12" ht="24" customHeight="1" x14ac:dyDescent="0.35">
      <c r="B5" s="48"/>
      <c r="C5" s="50" t="s">
        <v>7</v>
      </c>
      <c r="D5" s="50"/>
      <c r="E5" s="50"/>
      <c r="F5" s="50"/>
      <c r="G5" s="50"/>
      <c r="H5" s="50"/>
      <c r="J5" s="45" t="s">
        <v>2</v>
      </c>
      <c r="K5" s="45"/>
      <c r="L5" s="3">
        <v>0</v>
      </c>
    </row>
    <row r="6" spans="1:12" ht="24" customHeight="1" x14ac:dyDescent="0.45">
      <c r="B6" s="48"/>
      <c r="C6" s="50"/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J6" s="44" t="s">
        <v>3</v>
      </c>
      <c r="K6" s="44"/>
    </row>
    <row r="7" spans="1:12" ht="24" customHeight="1" x14ac:dyDescent="0.35">
      <c r="B7" s="48"/>
      <c r="C7" s="50"/>
      <c r="D7" s="6" t="s">
        <v>13</v>
      </c>
      <c r="E7" s="7" t="s">
        <v>13</v>
      </c>
      <c r="F7" s="7" t="s">
        <v>14</v>
      </c>
      <c r="G7" s="7" t="s">
        <v>15</v>
      </c>
      <c r="H7" s="8" t="s">
        <v>16</v>
      </c>
      <c r="J7" s="4">
        <v>40</v>
      </c>
    </row>
    <row r="8" spans="1:12" ht="24" customHeight="1" x14ac:dyDescent="0.35">
      <c r="B8" s="48"/>
      <c r="C8" s="50"/>
      <c r="D8" s="9" t="s">
        <v>17</v>
      </c>
      <c r="E8" s="11" t="s">
        <v>17</v>
      </c>
      <c r="F8" s="11" t="s">
        <v>18</v>
      </c>
      <c r="G8" s="11" t="s">
        <v>15</v>
      </c>
      <c r="H8" s="13" t="s">
        <v>16</v>
      </c>
    </row>
    <row r="9" spans="1:12" ht="24" customHeight="1" thickBot="1" x14ac:dyDescent="0.4">
      <c r="B9" s="49"/>
      <c r="C9" s="51"/>
      <c r="D9" s="10" t="s">
        <v>19</v>
      </c>
      <c r="E9" s="12" t="s">
        <v>19</v>
      </c>
      <c r="F9" s="12" t="s">
        <v>20</v>
      </c>
      <c r="G9" s="12" t="s">
        <v>15</v>
      </c>
      <c r="H9" s="14" t="s">
        <v>16</v>
      </c>
    </row>
    <row r="10" spans="1:12" ht="15" thickTop="1" x14ac:dyDescent="0.35"/>
  </sheetData>
  <mergeCells count="10">
    <mergeCell ref="B3:I3"/>
    <mergeCell ref="J4:K4"/>
    <mergeCell ref="J5:K5"/>
    <mergeCell ref="J6:K6"/>
    <mergeCell ref="A1:H1"/>
    <mergeCell ref="A2:H2"/>
    <mergeCell ref="B4:H4"/>
    <mergeCell ref="B5:B9"/>
    <mergeCell ref="C5:H5"/>
    <mergeCell ref="C6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Sheet1</vt:lpstr>
      <vt:lpstr>Data In</vt:lpstr>
      <vt:lpstr>Sheet6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Manifest_DataInterval</vt:lpstr>
      <vt:lpstr>Manifest_Generated</vt:lpstr>
      <vt:lpstr>Manifest_Id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Sanjiv Venkatram</dc:creator>
  <cp:lastModifiedBy>Sanjiv Venkatram</cp:lastModifiedBy>
  <dcterms:created xsi:type="dcterms:W3CDTF">2025-09-08T17:07:16Z</dcterms:created>
  <dcterms:modified xsi:type="dcterms:W3CDTF">2025-09-09T05:21:22Z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b1b3baa0-17f3-46b0-ac54-8f22823d86db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