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ji_dszgk2v\Desktop\"/>
    </mc:Choice>
  </mc:AlternateContent>
  <xr:revisionPtr revIDLastSave="0" documentId="13_ncr:1_{A0A5CDAD-1F37-4159-A17F-79982FAEB67F}" xr6:coauthVersionLast="45" xr6:coauthVersionMax="45" xr10:uidLastSave="{00000000-0000-0000-0000-000000000000}"/>
  <bookViews>
    <workbookView xWindow="-98" yWindow="-98" windowWidth="19396" windowHeight="10395" activeTab="1" xr2:uid="{C692B084-E202-41DB-BD43-717EC378245D}"/>
  </bookViews>
  <sheets>
    <sheet name="Sheet1" sheetId="1" r:id="rId1"/>
    <sheet name="Data In" sheetId="3" r:id="rId2"/>
    <sheet name="Data Out" sheetId="4" r:id="rId3"/>
    <sheet name="Settings" sheetId="2" r:id="rId4"/>
  </sheets>
  <definedNames>
    <definedName name="DataChannelCountDefault">Settings!$B$8</definedName>
    <definedName name="DataChannelCountSetting">Settings!$C$8</definedName>
    <definedName name="DataDelayDefault">Settings!$B$4</definedName>
    <definedName name="DataDelaySetting">Settings!$C$4</definedName>
    <definedName name="DataOrientationDefault">Settings!$B$10</definedName>
    <definedName name="DataOrientationSetting">Settings!$C$10</definedName>
    <definedName name="DataRowCountDefault">Settings!$B$6</definedName>
    <definedName name="DataRowCountSetting">Settings!$C$6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3" l="1"/>
  <c r="C11" i="3" s="1"/>
  <c r="C12" i="3" s="1"/>
  <c r="C13" i="3"/>
  <c r="C14" i="3"/>
  <c r="C15" i="3" s="1"/>
  <c r="C16" i="3" s="1"/>
  <c r="C17" i="3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9" i="3"/>
  <c r="C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8" i="3"/>
  <c r="B7" i="3"/>
  <c r="A7" i="3"/>
  <c r="K7" i="3" l="1"/>
  <c r="J7" i="3"/>
  <c r="I7" i="3"/>
  <c r="H7" i="3"/>
  <c r="G7" i="3"/>
</calcChain>
</file>

<file path=xl/sharedStrings.xml><?xml version="1.0" encoding="utf-8"?>
<sst xmlns="http://schemas.openxmlformats.org/spreadsheetml/2006/main" count="283" uniqueCount="279">
  <si>
    <t>update</t>
  </si>
  <si>
    <t>Workbook Settings</t>
  </si>
  <si>
    <t>Settings below will affect how data is read into the current workbook from data sources. Clear a field's contents to revert to its default setting.</t>
  </si>
  <si>
    <t xml:space="preserve">Data interval (ms)  </t>
  </si>
  <si>
    <t>150</t>
  </si>
  <si>
    <t xml:space="preserve">Data rows  </t>
  </si>
  <si>
    <t>15</t>
  </si>
  <si>
    <t xml:space="preserve">Data channels  </t>
  </si>
  <si>
    <t>10</t>
  </si>
  <si>
    <t xml:space="preserve">Data orientation  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</si>
  <si>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</si>
  <si>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</si>
  <si>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In (From Source)</t>
  </si>
  <si>
    <t>Data coming from the current data source will appear below as it is received.</t>
  </si>
  <si>
    <t>Current Data</t>
  </si>
  <si>
    <t>Historical Data</t>
  </si>
  <si>
    <t>Time</t>
  </si>
  <si>
    <t>CH1</t>
  </si>
  <si>
    <t>Data Out (To Device)</t>
  </si>
  <si>
    <t>Data entered into the channels below will be sent to the currently connected device as a comma-delimited string.</t>
  </si>
  <si>
    <t>Freq</t>
  </si>
  <si>
    <t>FFT</t>
  </si>
  <si>
    <t>FFT Amplitude</t>
  </si>
  <si>
    <t>14111</t>
  </si>
  <si>
    <t>132.071780193741+45.611139229937i</t>
  </si>
  <si>
    <t>102.596915777278+32.8450019151128i</t>
  </si>
  <si>
    <t>155.132285332049-39.6006746397586i</t>
  </si>
  <si>
    <t>501.822064158023-125.394501677263i</t>
  </si>
  <si>
    <t>-8078.51407192796-194.590103336632i</t>
  </si>
  <si>
    <t>-570.319184085158-185.811795568774i</t>
  </si>
  <si>
    <t>-262.755999206177-111.074119749333i</t>
  </si>
  <si>
    <t>-251.813854787621+23.6042733224144i</t>
  </si>
  <si>
    <t>-650.450082073895+147.826655505825i</t>
  </si>
  <si>
    <t>3832.78474120446+184.693289894098i</t>
  </si>
  <si>
    <t>400.879857815129+146.994884112097i</t>
  </si>
  <si>
    <t>125.246403457962+73.3920807297213i</t>
  </si>
  <si>
    <t>66.8082742284836+1.22616460921108i</t>
  </si>
  <si>
    <t>39.580737094579-2.08559626875491i</t>
  </si>
  <si>
    <t>602.578124682746+43.3666640715377i</t>
  </si>
  <si>
    <t>247.165842612941+92.7469862956254i</t>
  </si>
  <si>
    <t>188.875692331822+111.767489096175i</t>
  </si>
  <si>
    <t>230.486028621499+33.3909792388354i</t>
  </si>
  <si>
    <t>847.029480624789-109.669870945376i</t>
  </si>
  <si>
    <t>-2835.13782045978-268.384410663403i</t>
  </si>
  <si>
    <t>-743.293518170703-333.475851406724i</t>
  </si>
  <si>
    <t>-359.290365023253-279.499534506154i</t>
  </si>
  <si>
    <t>-317.483676553343-105.420518990696i</t>
  </si>
  <si>
    <t>-1031.65477888942+93.4450522483427i</t>
  </si>
  <si>
    <t>1988.87157794528+223.273737359033i</t>
  </si>
  <si>
    <t>456.261503126359+239.713046310282i</t>
  </si>
  <si>
    <t>141.281296643665+131.349477389365i</t>
  </si>
  <si>
    <t>38.4202359667377+22.8266010527026i</t>
  </si>
  <si>
    <t>-220.480379301954+14.4328802829796i</t>
  </si>
  <si>
    <t>1086.64102794201+134.067299438078i</t>
  </si>
  <si>
    <t>648.594503213957+336.746454642849i</t>
  </si>
  <si>
    <t>460.154941677189+451.912300990069i</t>
  </si>
  <si>
    <t>489.049498345594+366.645826545637i</t>
  </si>
  <si>
    <t>2710.72937354583-19.4782395289881i</t>
  </si>
  <si>
    <t>-4386.32616494859-585.858350013912i</t>
  </si>
  <si>
    <t>-2020.95273949059-1100.50652254642i</t>
  </si>
  <si>
    <t>-1145.71164192177-1300.06094921906i</t>
  </si>
  <si>
    <t>-923.478456401067-969.715154138748i</t>
  </si>
  <si>
    <t>-5265.20231290076-175.457755290307i</t>
  </si>
  <si>
    <t>6059.87456584316+827.385269378397i</t>
  </si>
  <si>
    <t>2885.88917079574+1646.35884800437i</t>
  </si>
  <si>
    <t>1496.87544776582+1919.199872196i</t>
  </si>
  <si>
    <t>970.043729967469+1473.76906044102i</t>
  </si>
  <si>
    <t>6335.42545137487+476.401261478529i</t>
  </si>
  <si>
    <t>-5396.02341459855-692.412302221665i</t>
  </si>
  <si>
    <t>-2708.60343052112-1590.0655368948i</t>
  </si>
  <si>
    <t>-1302.31690736966-1860.24013803876i</t>
  </si>
  <si>
    <t>-609.180021938163-1460.17926910066i</t>
  </si>
  <si>
    <t>-5061.43481964382-605.839992413647i</t>
  </si>
  <si>
    <t>3145.51259545812+324.630351118595i</t>
  </si>
  <si>
    <t>1597.04189764857+940.139879431309i</t>
  </si>
  <si>
    <t>677.631794533154+1077.40103199692i</t>
  </si>
  <si>
    <t>169.29172028113+782.41316587964i</t>
  </si>
  <si>
    <t>1970.98615437414+326.637426942738i</t>
  </si>
  <si>
    <t>-701.186259779817-40.7531158704913i</t>
  </si>
  <si>
    <t>-216.79583200768-130.548026857707i</t>
  </si>
  <si>
    <t>10.7286424281272+23.6713875835429i</t>
  </si>
  <si>
    <t>9.01376954803339+224.275362702441i</t>
  </si>
  <si>
    <t>1229.28276851799+240.488019241657i</t>
  </si>
  <si>
    <t>-740.89429700564+25.9736272729491i</t>
  </si>
  <si>
    <t>-694.686505865338-374.059460185441i</t>
  </si>
  <si>
    <t>-394.113113505343-749.427791440309i</t>
  </si>
  <si>
    <t>111.905754751251-881.987848874844i</t>
  </si>
  <si>
    <t>-2624-661i</t>
  </si>
  <si>
    <t>847.482837159897-172.338270994132i</t>
  </si>
  <si>
    <t>730.889827300676+347.444247429102i</t>
  </si>
  <si>
    <t>322.19329977258+658.273852435315i</t>
  </si>
  <si>
    <t>-189.464794540804+640.643355330888i</t>
  </si>
  <si>
    <t>1277.27109815074+380.601525781937i</t>
  </si>
  <si>
    <t>-167.204974674764+82.331682616177i</t>
  </si>
  <si>
    <t>-22.816560429001-9.8560602263739i</t>
  </si>
  <si>
    <t>90.713888020698+172.449676025942i</t>
  </si>
  <si>
    <t>-232.097734501249+523.6962766564i</t>
  </si>
  <si>
    <t>2122.35725754837+721.937436885986i</t>
  </si>
  <si>
    <t>-481.649539289735+511.589020522601i</t>
  </si>
  <si>
    <t>-928.290996158949-218.281659840851i</t>
  </si>
  <si>
    <t>-574.433345728646-1208.11339735257i</t>
  </si>
  <si>
    <t>1252.82763356826-2035.95453809134i</t>
  </si>
  <si>
    <t>-5690.88813456949-2209.35392997783i</t>
  </si>
  <si>
    <t>598.937381251039-1457.1082012888i</t>
  </si>
  <si>
    <t>1594.89276230639+31.0160218446446i</t>
  </si>
  <si>
    <t>919.655521054363+1761.49916658763i</t>
  </si>
  <si>
    <t>-2425.40963310251+3026.58723304416i</t>
  </si>
  <si>
    <t>7463.35429971784+3229.06625512878i</t>
  </si>
  <si>
    <t>-277.984816380654+2248.52562686301i</t>
  </si>
  <si>
    <t>-1648.98929809777+422.636179205243i</t>
  </si>
  <si>
    <t>-962.724526399682-1553.01819303373i</t>
  </si>
  <si>
    <t>2950.35230308629-2907.71143233172i</t>
  </si>
  <si>
    <t>-6536.67494909996-3132.53902173839i</t>
  </si>
  <si>
    <t>-119.906257368277-2257.46495913342i</t>
  </si>
  <si>
    <t>1168.51685341716-703.729326878768i</t>
  </si>
  <si>
    <t>719.280276848375+845.378583692101i</t>
  </si>
  <si>
    <t>-2278.63911701556+1789.70695495287i</t>
  </si>
  <si>
    <t>3594.38136340992+1897.60644118792i</t>
  </si>
  <si>
    <t>205.02656831078+1303.37263984737i</t>
  </si>
  <si>
    <t>-466.154941677188+465.91230099007i</t>
  </si>
  <si>
    <t>-274.797326034455-180.074997444454i</t>
  </si>
  <si>
    <t>587.289306608016-369.935144474396i</t>
  </si>
  <si>
    <t>-317.220629642943-169.34056838049i</t>
  </si>
  <si>
    <t>31.1054563842509+124.091940582472i</t>
  </si>
  <si>
    <t>-152.527584324596+219.519055419226i</t>
  </si>
  <si>
    <t>-234.403415587516-48.6745478055668i</t>
  </si>
  <si>
    <t>1121.03460642978-558.044247584935i</t>
  </si>
  <si>
    <t>-1649.33255662253-1007.99479521229i</t>
  </si>
  <si>
    <t>-289.088675331753-1129.47884610034i</t>
  </si>
  <si>
    <t>408.312072022379-770.049259719682i</t>
  </si>
  <si>
    <t>503.062420274741-84.7419943811915i</t>
  </si>
  <si>
    <t>-1637.17509185661+623.66081627809i</t>
  </si>
  <si>
    <t>1555.89100775866+1022.30337153794i</t>
  </si>
  <si>
    <t>273.562639503831+962.307835515752i</t>
  </si>
  <si>
    <t>-242.298883539838+553.691624525735i</t>
  </si>
  <si>
    <t>-248.923201925821+103.818054107489i</t>
  </si>
  <si>
    <t>350.118273445383-98.0225661040265i</t>
  </si>
  <si>
    <t>88.8558848474127+66.2629213939268i</t>
  </si>
  <si>
    <t>126.695168838614+422.212007216396i</t>
  </si>
  <si>
    <t>-236.500798691983+638.329155600706i</t>
  </si>
  <si>
    <t>-668.410112815762+387.989981154102i</t>
  </si>
  <si>
    <t>2273.07688026283-414.924349177315i</t>
  </si>
  <si>
    <t>-2048.16288990415-1486.7266096276i</t>
  </si>
  <si>
    <t>-703.34373464291-2295.74116954444i</t>
  </si>
  <si>
    <t>816.087947976467-2318.50052004159i</t>
  </si>
  <si>
    <t>1972.55154238339-1329.32488156813i</t>
  </si>
  <si>
    <t>-4835.07088467282+438.298303250669i</t>
  </si>
  <si>
    <t>3192.13055576316+2333.89499308943i</t>
  </si>
  <si>
    <t>1140.70536644042+3584.7542890863i</t>
  </si>
  <si>
    <t>-1186.9197277033+3560.21117023329i</t>
  </si>
  <si>
    <t>-3047.573168984+2205.82832116643i</t>
  </si>
  <si>
    <t>5893</t>
  </si>
  <si>
    <t>-3047.57316898401-2205.82832116641i</t>
  </si>
  <si>
    <t>-1186.91972770332-3560.21117023328i</t>
  </si>
  <si>
    <t>1140.7053664404-3584.7542890863i</t>
  </si>
  <si>
    <t>3192.13055576315-2333.89499308943i</t>
  </si>
  <si>
    <t>-4835.07088467282-438.29830325065i</t>
  </si>
  <si>
    <t>1972.55154238339+1329.32488156812i</t>
  </si>
  <si>
    <t>816.087947976479+2318.50052004158i</t>
  </si>
  <si>
    <t>-703.343734642904+2295.74116954444i</t>
  </si>
  <si>
    <t>-2048.16288990415+1486.72660962761i</t>
  </si>
  <si>
    <t>2273.07688026283+414.92434917731i</t>
  </si>
  <si>
    <t>-668.410112815767-387.989981154097i</t>
  </si>
  <si>
    <t>-236.500798691986-638.329155600699i</t>
  </si>
  <si>
    <t>126.695168838609-422.212007216396i</t>
  </si>
  <si>
    <t>88.8558848474132-66.2629213939213i</t>
  </si>
  <si>
    <t>350.118273445383+98.022566104018i</t>
  </si>
  <si>
    <t>-248.923201925822-103.818054107491i</t>
  </si>
  <si>
    <t>-242.298883539841-553.69162452574i</t>
  </si>
  <si>
    <t>273.562639503826-962.307835515754i</t>
  </si>
  <si>
    <t>1555.89100775866-1022.30337153795i</t>
  </si>
  <si>
    <t>-1637.17509185661-623.660816278076i</t>
  </si>
  <si>
    <t>503.06242027474+84.7419943811877i</t>
  </si>
  <si>
    <t>408.312072022382+770.049259719684i</t>
  </si>
  <si>
    <t>-289.088675331745+1129.47884610034i</t>
  </si>
  <si>
    <t>-1649.33255662253+1007.9947952123i</t>
  </si>
  <si>
    <t>1121.03460642978+558.04424758492i</t>
  </si>
  <si>
    <t>-234.403415587514+48.6745478055677i</t>
  </si>
  <si>
    <t>-152.527584324595-219.519055419229i</t>
  </si>
  <si>
    <t>31.1054563842492-124.091940582469i</t>
  </si>
  <si>
    <t>-317.220629642941+169.340568380491i</t>
  </si>
  <si>
    <t>587.289306608014+369.935144474402i</t>
  </si>
  <si>
    <t>-274.797326034453+180.074997444457i</t>
  </si>
  <si>
    <t>-466.154941677189-465.912300990069i</t>
  </si>
  <si>
    <t>205.026568310776-1303.37263984737i</t>
  </si>
  <si>
    <t>3594.38136340992-1897.60644118794i</t>
  </si>
  <si>
    <t>-2278.63911701556-1789.70695495287i</t>
  </si>
  <si>
    <t>719.280276848371-845.378583692103i</t>
  </si>
  <si>
    <t>1168.51685341717+703.729326878757i</t>
  </si>
  <si>
    <t>-119.906257368263+2257.46495913342i</t>
  </si>
  <si>
    <t>-6536.67494909994+3132.53902173843i</t>
  </si>
  <si>
    <t>2950.35230308629+2907.71143233172i</t>
  </si>
  <si>
    <t>-962.724526399673+1553.01819303374i</t>
  </si>
  <si>
    <t>-1648.98929809777-422.636179205231i</t>
  </si>
  <si>
    <t>-277.984816380671-2248.52562686301i</t>
  </si>
  <si>
    <t>7463.35429971782-3229.0662551288i</t>
  </si>
  <si>
    <t>-2425.40963310252-3026.58723304414i</t>
  </si>
  <si>
    <t>919.655521054351-1761.49916658763i</t>
  </si>
  <si>
    <t>1594.89276230639-31.0160218446593i</t>
  </si>
  <si>
    <t>598.937381251043+1457.10820128879i</t>
  </si>
  <si>
    <t>-5690.88813456947+2209.35392997786i</t>
  </si>
  <si>
    <t>1252.82763356827+2035.95453809134i</t>
  </si>
  <si>
    <t>-574.43334572864+1208.11339735257i</t>
  </si>
  <si>
    <t>-928.290996158949+218.281659840857i</t>
  </si>
  <si>
    <t>-481.649539289744-511.589020522598i</t>
  </si>
  <si>
    <t>2122.35725754837-721.937436885989i</t>
  </si>
  <si>
    <t>-232.097734501257-523.696276656401i</t>
  </si>
  <si>
    <t>90.7138880206955-172.44967602594i</t>
  </si>
  <si>
    <t>-22.8165604290011+9.85606022636984i</t>
  </si>
  <si>
    <t>-167.204974674761-82.3316826161756i</t>
  </si>
  <si>
    <t>1277.27109815074-380.601525781953i</t>
  </si>
  <si>
    <t>-189.464794540803-640.643355330886i</t>
  </si>
  <si>
    <t>322.193299772574-658.273852435319i</t>
  </si>
  <si>
    <t>730.889827300671-347.444247429102i</t>
  </si>
  <si>
    <t>847.482837159896+172.338270994124i</t>
  </si>
  <si>
    <t>-2624+661i</t>
  </si>
  <si>
    <t>111.905754751255+881.987848874838i</t>
  </si>
  <si>
    <t>-394.113113505337+749.427791440311i</t>
  </si>
  <si>
    <t>-694.686505865332+374.05946018544i</t>
  </si>
  <si>
    <t>-740.894297005639-25.973627272945i</t>
  </si>
  <si>
    <t>1229.28276851799-240.48801924167i</t>
  </si>
  <si>
    <t>9.01376954803051-224.275362702436i</t>
  </si>
  <si>
    <t>10.7286424281257-23.6713875835427i</t>
  </si>
  <si>
    <t>-216.795832007682+130.548026857712i</t>
  </si>
  <si>
    <t>-701.186259779817+40.7531158704931i</t>
  </si>
  <si>
    <t>1970.98615437413-326.637426942743i</t>
  </si>
  <si>
    <t>169.291720281129-782.413165879646i</t>
  </si>
  <si>
    <t>677.631794533153-1077.40103199692i</t>
  </si>
  <si>
    <t>1597.04189764857-940.139879431325i</t>
  </si>
  <si>
    <t>3145.51259545813-324.630351118608i</t>
  </si>
  <si>
    <t>-5061.43481964381+605.839992413671i</t>
  </si>
  <si>
    <t>-609.180021938158+1460.17926910066i</t>
  </si>
  <si>
    <t>-1302.31690736965+1860.24013803876i</t>
  </si>
  <si>
    <t>-2708.60343052111+1590.06553689482i</t>
  </si>
  <si>
    <t>-5396.02341459855+692.412302221694i</t>
  </si>
  <si>
    <t>6335.42545137487-476.401261478552i</t>
  </si>
  <si>
    <t>970.043729967461-1473.76906044103i</t>
  </si>
  <si>
    <t>1496.87544776581-1919.199872196i</t>
  </si>
  <si>
    <t>2885.88917079573-1646.35884800439i</t>
  </si>
  <si>
    <t>6059.87456584316-827.385269378415i</t>
  </si>
  <si>
    <t>-5265.20231290075+175.45775529033i</t>
  </si>
  <si>
    <t>-923.478456401062+969.715154138754i</t>
  </si>
  <si>
    <t>-1145.71164192176+1300.06094921907i</t>
  </si>
  <si>
    <t>-2020.95273949059+1100.50652254643i</t>
  </si>
  <si>
    <t>-4386.32616494859+585.858350013933i</t>
  </si>
  <si>
    <t>2710.72937354583+19.4782395289791i</t>
  </si>
  <si>
    <t>489.049498345586-366.645826545641i</t>
  </si>
  <si>
    <t>460.154941677188-451.91230099007i</t>
  </si>
  <si>
    <t>648.59450321395-336.746454642855i</t>
  </si>
  <si>
    <t>1086.64102794201-134.067299438079i</t>
  </si>
  <si>
    <t>-220.480379301953-14.4328802829846i</t>
  </si>
  <si>
    <t>38.4202359667423-22.8266010527019i</t>
  </si>
  <si>
    <t>141.281296643666-131.34947738937i</t>
  </si>
  <si>
    <t>456.261503126359-239.713046310282i</t>
  </si>
  <si>
    <t>1988.87157794528-223.273737359048i</t>
  </si>
  <si>
    <t>-1031.65477888942-93.4450522483344i</t>
  </si>
  <si>
    <t>-317.483676553346+105.420518990695i</t>
  </si>
  <si>
    <t>-359.290365023255+279.499534506158i</t>
  </si>
  <si>
    <t>-743.2935181707+333.475851406725i</t>
  </si>
  <si>
    <t>-2835.13782045978+268.384410663418i</t>
  </si>
  <si>
    <t>847.029480624792+109.669870945366i</t>
  </si>
  <si>
    <t>230.486028621503-33.3909792388354i</t>
  </si>
  <si>
    <t>188.875692331823-111.767489096179i</t>
  </si>
  <si>
    <t>247.165842612941-92.746986295624i</t>
  </si>
  <si>
    <t>602.578124682743-43.3666640715453i</t>
  </si>
  <si>
    <t>39.5807370945735+2.08559626876001i</t>
  </si>
  <si>
    <t>66.8082742284823-1.22616460921409i</t>
  </si>
  <si>
    <t>125.246403457962-73.3920807297204i</t>
  </si>
  <si>
    <t>400.879857815133-146.994884112104i</t>
  </si>
  <si>
    <t>3832.78474120446-184.693289894113i</t>
  </si>
  <si>
    <t>-650.450082073887-147.826655505826i</t>
  </si>
  <si>
    <t>-251.813854787616-23.6042733224122i</t>
  </si>
  <si>
    <t>-262.755999206173+111.074119749332i</t>
  </si>
  <si>
    <t>-570.319184085158+185.811795568781i</t>
  </si>
  <si>
    <t>-8078.51407192797+194.590103336673i</t>
  </si>
  <si>
    <t>501.82206415802+125.394501677263i</t>
  </si>
  <si>
    <t>155.132285332046+39.6006746397543i</t>
  </si>
  <si>
    <t>102.596915777279-32.845001915111i</t>
  </si>
  <si>
    <t>132.071780193738-45.611139229942i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</si>
</sst>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@\ &quot;(Default)&quot;"/>
    <numFmt numFmtId="165" formatCode="h:mm:ss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FFFFFF"/>
      <name val="Segoe UI Light"/>
      <family val="2"/>
    </font>
    <font>
      <sz val="20"/>
      <color rgb="FF696969"/>
      <name val="Segoe UI Light"/>
      <family val="2"/>
    </font>
    <font>
      <sz val="11"/>
      <color rgb="FFFBFBFB"/>
      <name val="Segoe UI Light"/>
      <family val="2"/>
    </font>
    <font>
      <sz val="11"/>
      <color rgb="FF000000"/>
      <name val="Segoe UI Light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4"/>
      <color theme="1"/>
      <name val="Segoe UI Light"/>
      <family val="2"/>
    </font>
    <font>
      <sz val="11"/>
      <color rgb="FFBFBFBF"/>
      <name val="Segoe UI Light"/>
      <family val="2"/>
    </font>
    <font>
      <sz val="11"/>
      <color rgb="FF3A3838"/>
      <name val="Segoe UI Light"/>
      <family val="2"/>
    </font>
    <font>
      <sz val="11"/>
      <color rgb="FFBFBFBF"/>
      <name val="Segoe UI Semibold"/>
      <family val="2"/>
    </font>
    <font>
      <sz val="11"/>
      <color rgb="FF3A3838"/>
      <name val="Segoe UI Semibold"/>
      <family val="2"/>
    </font>
    <font>
      <sz val="8"/>
      <name val="Calibri"/>
      <family val="2"/>
      <scheme val="minor"/>
    </font>
    <font>
      <sz val="9"/>
      <color rgb="FF696969"/>
      <name val="Segoe UI Light"/>
      <family val="2"/>
    </font>
    <font>
      <sz val="9"/>
      <color rgb="FFFFFFFF"/>
      <name val="Segoe UI Light"/>
      <family val="2"/>
    </font>
    <font>
      <sz val="9"/>
      <color theme="1"/>
      <name val="Segoe UI Light"/>
      <family val="2"/>
    </font>
    <font>
      <sz val="9"/>
      <color rgb="FF555555"/>
      <name val="Segoe UI Light"/>
      <family val="2"/>
    </font>
    <font>
      <sz val="9"/>
      <color rgb="FF3A3838"/>
      <name val="Segoe UI Light"/>
      <family val="2"/>
    </font>
    <font>
      <sz val="9"/>
      <color rgb="FFBFBFBF"/>
      <name val="Segoe UI Light"/>
      <family val="2"/>
    </font>
    <font>
      <sz val="9"/>
      <color rgb="FF3A3838"/>
      <name val="Segoe UI Semibold"/>
      <family val="2"/>
    </font>
    <font>
      <sz val="9"/>
      <color rgb="FFBFBFBF"/>
      <name val="Calibri"/>
      <family val="2"/>
      <scheme val="minor"/>
    </font>
    <font>
      <sz val="9"/>
      <color rgb="FFBFBFBF"/>
      <name val="Segoe UI Semibold"/>
      <family val="2"/>
    </font>
    <font>
      <sz val="9"/>
      <color rgb="FF505050"/>
      <name val="Segoe UI Light"/>
      <family val="2"/>
    </font>
    <font>
      <sz val="9"/>
      <color rgb="FF505050"/>
      <name val="Segoe UI"/>
      <family val="2"/>
    </font>
    <font>
      <sz val="9"/>
      <color theme="1"/>
      <name val="Calibri"/>
      <family val="2"/>
      <scheme val="minor"/>
    </font>
    <font>
      <sz val="11"/>
      <color rgb="FF50505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BFB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</fills>
  <borders count="20">
    <border>
      <left/>
      <right/>
      <top/>
      <bottom/>
      <diagonal/>
    </border>
    <border>
      <left style="thin">
        <color rgb="FFCECECE"/>
      </left>
      <right/>
      <top style="thin">
        <color rgb="FFCECECE"/>
      </top>
      <bottom style="thin">
        <color rgb="FFCECECE"/>
      </bottom>
      <diagonal/>
    </border>
    <border>
      <left style="thin">
        <color rgb="FFFFFFFF"/>
      </left>
      <right style="thin">
        <color rgb="FFCECECE"/>
      </right>
      <top style="thin">
        <color rgb="FFCECECE"/>
      </top>
      <bottom style="thin">
        <color rgb="FFCECECE"/>
      </bottom>
      <diagonal/>
    </border>
    <border>
      <left/>
      <right style="thick">
        <color rgb="FFEBB000"/>
      </right>
      <top/>
      <bottom/>
      <diagonal/>
    </border>
    <border>
      <left style="thick">
        <color rgb="FFEBB00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FFC000"/>
      </right>
      <top/>
      <bottom style="thick">
        <color rgb="FFFFC000"/>
      </bottom>
      <diagonal/>
    </border>
    <border>
      <left/>
      <right/>
      <top style="thick">
        <color rgb="FFFFC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hair">
        <color rgb="FFBFBFBF"/>
      </bottom>
      <diagonal/>
    </border>
    <border>
      <left style="thin">
        <color rgb="FFBFBFBF"/>
      </left>
      <right style="thin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BFBFBF"/>
      </left>
      <right style="thin">
        <color rgb="FFBFBFBF"/>
      </right>
      <top style="hair">
        <color rgb="FFBFBFBF"/>
      </top>
      <bottom style="thick">
        <color rgb="FFBFBFBF"/>
      </bottom>
      <diagonal/>
    </border>
    <border>
      <left/>
      <right style="thick">
        <color rgb="FF0FC3FF"/>
      </right>
      <top/>
      <bottom/>
      <diagonal/>
    </border>
    <border>
      <left style="thick">
        <color rgb="FF61D7FF"/>
      </left>
      <right style="thick">
        <color rgb="FF61D7FF"/>
      </right>
      <top/>
      <bottom style="thick">
        <color rgb="FF61D7FF"/>
      </bottom>
      <diagonal/>
    </border>
    <border>
      <left/>
      <right style="thin">
        <color rgb="FF999999"/>
      </right>
      <top/>
      <bottom style="thin">
        <color rgb="FFBFBFBF"/>
      </bottom>
      <diagonal/>
    </border>
    <border>
      <left style="thin">
        <color rgb="FF999999"/>
      </left>
      <right style="thin">
        <color rgb="FF999999"/>
      </right>
      <top/>
      <bottom style="thin">
        <color rgb="FFBFBFBF"/>
      </bottom>
      <diagonal/>
    </border>
    <border>
      <left style="medium">
        <color rgb="FFBFBFBF"/>
      </left>
      <right style="medium">
        <color rgb="FFBFBFBF"/>
      </right>
      <top style="thin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medium">
        <color rgb="FFBFBFBF"/>
      </left>
      <right style="medium">
        <color rgb="FFBFBFBF"/>
      </right>
      <top/>
      <bottom style="thick">
        <color rgb="FFBFBFBF"/>
      </bottom>
      <diagonal/>
    </border>
    <border>
      <left style="thin">
        <color rgb="FFBFBFBF"/>
      </left>
      <right style="thick">
        <color rgb="FFBFBFBF"/>
      </right>
      <top style="thin">
        <color rgb="FFBFBFBF"/>
      </top>
      <bottom style="hair">
        <color rgb="FFBFBFBF"/>
      </bottom>
      <diagonal/>
    </border>
    <border>
      <left style="thin">
        <color rgb="FFBFBFBF"/>
      </left>
      <right style="thick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BFBFBF"/>
      </left>
      <right style="thick">
        <color rgb="FFBFBFBF"/>
      </right>
      <top style="hair">
        <color rgb="FFBFBFBF"/>
      </top>
      <bottom style="thick">
        <color rgb="FFBFBFBF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164" fontId="6" fillId="3" borderId="1" xfId="0" applyNumberFormat="1" applyFont="1" applyFill="1" applyBorder="1" applyAlignment="1">
      <alignment horizontal="left" vertical="center" indent="1"/>
    </xf>
    <xf numFmtId="1" fontId="1" fillId="3" borderId="2" xfId="0" applyNumberFormat="1" applyFont="1" applyFill="1" applyBorder="1" applyAlignment="1" applyProtection="1">
      <alignment horizontal="left" vertical="center" indent="1"/>
      <protection locked="0"/>
    </xf>
    <xf numFmtId="0" fontId="1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9" fillId="3" borderId="0" xfId="0" applyFont="1" applyFill="1" applyBorder="1" applyAlignment="1">
      <alignment horizontal="center" wrapText="1"/>
    </xf>
    <xf numFmtId="0" fontId="9" fillId="3" borderId="0" xfId="0" applyFont="1" applyFill="1" applyBorder="1" applyAlignment="1">
      <alignment horizontal="left" vertical="center"/>
    </xf>
    <xf numFmtId="0" fontId="10" fillId="8" borderId="10" xfId="0" applyFont="1" applyFill="1" applyBorder="1" applyAlignment="1">
      <alignment horizontal="center" wrapText="1"/>
    </xf>
    <xf numFmtId="0" fontId="12" fillId="9" borderId="11" xfId="0" applyFont="1" applyFill="1" applyBorder="1"/>
    <xf numFmtId="0" fontId="11" fillId="3" borderId="0" xfId="0" applyFont="1" applyFill="1" applyBorder="1"/>
    <xf numFmtId="0" fontId="15" fillId="3" borderId="0" xfId="0" applyFont="1" applyFill="1" applyBorder="1" applyAlignment="1">
      <alignment horizontal="left" vertical="center"/>
    </xf>
    <xf numFmtId="0" fontId="16" fillId="3" borderId="0" xfId="0" applyFont="1" applyFill="1" applyBorder="1" applyAlignment="1">
      <alignment horizontal="left" vertical="center"/>
    </xf>
    <xf numFmtId="0" fontId="18" fillId="4" borderId="3" xfId="0" applyFont="1" applyFill="1" applyBorder="1" applyAlignment="1">
      <alignment horizontal="left" wrapText="1" indent="1"/>
    </xf>
    <xf numFmtId="0" fontId="18" fillId="4" borderId="4" xfId="0" applyFont="1" applyFill="1" applyBorder="1" applyAlignment="1">
      <alignment horizontal="center" wrapText="1"/>
    </xf>
    <xf numFmtId="0" fontId="19" fillId="3" borderId="0" xfId="0" applyFont="1" applyFill="1" applyBorder="1" applyAlignment="1">
      <alignment horizontal="center" wrapText="1"/>
    </xf>
    <xf numFmtId="165" fontId="20" fillId="5" borderId="5" xfId="0" applyNumberFormat="1" applyFont="1" applyFill="1" applyBorder="1" applyAlignment="1">
      <alignment horizontal="left" vertical="center" indent="1"/>
    </xf>
    <xf numFmtId="0" fontId="20" fillId="5" borderId="5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/>
    </xf>
    <xf numFmtId="0" fontId="22" fillId="3" borderId="0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23" fillId="6" borderId="12" xfId="0" applyFont="1" applyFill="1" applyBorder="1" applyAlignment="1">
      <alignment horizontal="left" wrapText="1" indent="1"/>
    </xf>
    <xf numFmtId="0" fontId="23" fillId="6" borderId="13" xfId="0" applyFont="1" applyFill="1" applyBorder="1" applyAlignment="1">
      <alignment horizontal="center" wrapText="1"/>
    </xf>
    <xf numFmtId="0" fontId="25" fillId="3" borderId="0" xfId="0" applyFont="1" applyFill="1" applyBorder="1"/>
    <xf numFmtId="0" fontId="16" fillId="3" borderId="0" xfId="0" applyFont="1" applyFill="1" applyBorder="1" applyAlignment="1">
      <alignment horizontal="right" vertical="center" indent="1"/>
    </xf>
    <xf numFmtId="0" fontId="16" fillId="3" borderId="0" xfId="0" quotePrefix="1" applyFont="1" applyFill="1" applyBorder="1" applyAlignment="1">
      <alignment horizontal="left" vertical="center" indent="1"/>
    </xf>
    <xf numFmtId="0" fontId="16" fillId="3" borderId="0" xfId="0" applyFont="1" applyFill="1" applyBorder="1" applyAlignment="1">
      <alignment horizontal="left" vertical="center" inden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7" fillId="3" borderId="0" xfId="0" applyFont="1" applyFill="1" applyBorder="1" applyAlignment="1">
      <alignment horizontal="left" vertical="center" indent="1"/>
    </xf>
    <xf numFmtId="165" fontId="24" fillId="3" borderId="0" xfId="0" applyNumberFormat="1" applyFont="1" applyFill="1" applyBorder="1" applyAlignment="1">
      <alignment horizontal="left" vertical="center" indent="1"/>
    </xf>
    <xf numFmtId="0" fontId="24" fillId="3" borderId="0" xfId="0" applyFont="1" applyFill="1" applyBorder="1" applyAlignment="1">
      <alignment horizontal="right" vertical="center" indent="1"/>
    </xf>
    <xf numFmtId="0" fontId="24" fillId="3" borderId="0" xfId="0" quotePrefix="1" applyFont="1" applyFill="1" applyBorder="1" applyAlignment="1">
      <alignment horizontal="right" vertical="center" indent="1"/>
    </xf>
    <xf numFmtId="0" fontId="26" fillId="7" borderId="17" xfId="0" applyFont="1" applyFill="1" applyBorder="1" applyAlignment="1">
      <alignment horizontal="right" vertical="center" indent="1"/>
    </xf>
    <xf numFmtId="0" fontId="26" fillId="7" borderId="18" xfId="0" applyFont="1" applyFill="1" applyBorder="1" applyAlignment="1">
      <alignment horizontal="right" vertical="center" indent="1"/>
    </xf>
    <xf numFmtId="0" fontId="26" fillId="7" borderId="18" xfId="0" quotePrefix="1" applyFont="1" applyFill="1" applyBorder="1" applyAlignment="1">
      <alignment horizontal="right" vertical="center" indent="1"/>
    </xf>
    <xf numFmtId="165" fontId="26" fillId="7" borderId="7" xfId="0" applyNumberFormat="1" applyFont="1" applyFill="1" applyBorder="1" applyAlignment="1">
      <alignment horizontal="left" vertical="center" indent="1"/>
    </xf>
    <xf numFmtId="165" fontId="26" fillId="7" borderId="8" xfId="0" applyNumberFormat="1" applyFont="1" applyFill="1" applyBorder="1" applyAlignment="1">
      <alignment horizontal="left" vertical="center" indent="1"/>
    </xf>
    <xf numFmtId="165" fontId="26" fillId="5" borderId="9" xfId="0" applyNumberFormat="1" applyFont="1" applyFill="1" applyBorder="1" applyAlignment="1">
      <alignment horizontal="left" vertical="center" indent="1"/>
    </xf>
    <xf numFmtId="0" fontId="26" fillId="5" borderId="19" xfId="0" applyFont="1" applyFill="1" applyBorder="1" applyAlignment="1">
      <alignment horizontal="right" vertical="center" indent="1"/>
    </xf>
    <xf numFmtId="0" fontId="24" fillId="3" borderId="0" xfId="0" applyFont="1" applyFill="1" applyBorder="1" applyAlignment="1">
      <alignment horizontal="left" vertical="center" indent="1"/>
    </xf>
    <xf numFmtId="0" fontId="14" fillId="3" borderId="0" xfId="0" applyFont="1" applyFill="1" applyBorder="1" applyAlignment="1">
      <alignment horizontal="left" indent="1"/>
    </xf>
    <xf numFmtId="0" fontId="16" fillId="3" borderId="0" xfId="0" applyFont="1" applyFill="1" applyBorder="1" applyAlignment="1">
      <alignment horizontal="left" vertical="top" wrapText="1" indent="1"/>
    </xf>
    <xf numFmtId="0" fontId="17" fillId="3" borderId="0" xfId="0" applyFont="1" applyFill="1" applyBorder="1" applyAlignment="1">
      <alignment horizontal="left" vertical="center" indent="1"/>
    </xf>
    <xf numFmtId="0" fontId="17" fillId="3" borderId="6" xfId="0" applyFont="1" applyFill="1" applyBorder="1" applyAlignment="1">
      <alignment horizontal="left" vertical="center" indent="1"/>
    </xf>
    <xf numFmtId="0" fontId="3" fillId="3" borderId="0" xfId="0" applyFont="1" applyFill="1" applyBorder="1" applyAlignment="1">
      <alignment horizontal="left" indent="1"/>
    </xf>
    <xf numFmtId="0" fontId="1" fillId="3" borderId="0" xfId="0" applyFont="1" applyFill="1" applyBorder="1" applyAlignment="1">
      <alignment horizontal="left" vertical="top" wrapText="1" indent="1"/>
    </xf>
    <xf numFmtId="0" fontId="8" fillId="3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indent="1"/>
    </xf>
    <xf numFmtId="0" fontId="1" fillId="2" borderId="0" xfId="0" applyFont="1" applyFill="1" applyBorder="1" applyAlignment="1">
      <alignment horizontal="left" vertical="top" wrapText="1" indent="1"/>
    </xf>
    <xf numFmtId="0" fontId="7" fillId="2" borderId="0" xfId="0" applyFont="1" applyFill="1" applyBorder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Input</a:t>
            </a:r>
            <a:r>
              <a:rPr lang="en-GB" baseline="0"/>
              <a:t> from Sound Sensor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In'!$A$8:$A$506</c:f>
              <c:numCache>
                <c:formatCode>h:mm:ss.00</c:formatCode>
                <c:ptCount val="499"/>
                <c:pt idx="0">
                  <c:v>44169.794519016206</c:v>
                </c:pt>
                <c:pt idx="1">
                  <c:v>44169.794519108793</c:v>
                </c:pt>
                <c:pt idx="2">
                  <c:v>44169.79451915509</c:v>
                </c:pt>
                <c:pt idx="3">
                  <c:v>44169.794519247684</c:v>
                </c:pt>
                <c:pt idx="4">
                  <c:v>44169.794519293981</c:v>
                </c:pt>
                <c:pt idx="5">
                  <c:v>44169.794519386574</c:v>
                </c:pt>
                <c:pt idx="6">
                  <c:v>44169.794519432871</c:v>
                </c:pt>
                <c:pt idx="7">
                  <c:v>44169.794519537034</c:v>
                </c:pt>
                <c:pt idx="8">
                  <c:v>44169.794519583331</c:v>
                </c:pt>
                <c:pt idx="9">
                  <c:v>44169.794519675925</c:v>
                </c:pt>
                <c:pt idx="10">
                  <c:v>44169.794519722222</c:v>
                </c:pt>
                <c:pt idx="11">
                  <c:v>44169.794519814815</c:v>
                </c:pt>
                <c:pt idx="12">
                  <c:v>44169.794519872688</c:v>
                </c:pt>
                <c:pt idx="13">
                  <c:v>44169.794519965275</c:v>
                </c:pt>
                <c:pt idx="14">
                  <c:v>44169.794520011572</c:v>
                </c:pt>
                <c:pt idx="15">
                  <c:v>44169.794520104166</c:v>
                </c:pt>
                <c:pt idx="16">
                  <c:v>44169.794520150463</c:v>
                </c:pt>
                <c:pt idx="17">
                  <c:v>44169.794520243056</c:v>
                </c:pt>
                <c:pt idx="18">
                  <c:v>44169.79452033565</c:v>
                </c:pt>
                <c:pt idx="19">
                  <c:v>44169.794520381947</c:v>
                </c:pt>
                <c:pt idx="20">
                  <c:v>44169.79452048611</c:v>
                </c:pt>
                <c:pt idx="21">
                  <c:v>44169.794520532407</c:v>
                </c:pt>
                <c:pt idx="22">
                  <c:v>44169.794520625001</c:v>
                </c:pt>
                <c:pt idx="23">
                  <c:v>44169.794520671298</c:v>
                </c:pt>
                <c:pt idx="24">
                  <c:v>44169.794520763891</c:v>
                </c:pt>
                <c:pt idx="25">
                  <c:v>44169.794520856478</c:v>
                </c:pt>
                <c:pt idx="26">
                  <c:v>44169.794520914351</c:v>
                </c:pt>
                <c:pt idx="27">
                  <c:v>44169.794521006945</c:v>
                </c:pt>
                <c:pt idx="28">
                  <c:v>44169.794521053242</c:v>
                </c:pt>
                <c:pt idx="29">
                  <c:v>44169.794521145835</c:v>
                </c:pt>
                <c:pt idx="30">
                  <c:v>44169.794521203701</c:v>
                </c:pt>
                <c:pt idx="31">
                  <c:v>44169.794521388889</c:v>
                </c:pt>
                <c:pt idx="32">
                  <c:v>44169.794521388889</c:v>
                </c:pt>
                <c:pt idx="33">
                  <c:v>44169.794521458331</c:v>
                </c:pt>
                <c:pt idx="34">
                  <c:v>44169.79452152778</c:v>
                </c:pt>
                <c:pt idx="35">
                  <c:v>44169.794521574076</c:v>
                </c:pt>
                <c:pt idx="36">
                  <c:v>44169.794521666663</c:v>
                </c:pt>
                <c:pt idx="37">
                  <c:v>44169.79452171296</c:v>
                </c:pt>
                <c:pt idx="38">
                  <c:v>44169.794521805554</c:v>
                </c:pt>
                <c:pt idx="39">
                  <c:v>44169.794521851851</c:v>
                </c:pt>
                <c:pt idx="40">
                  <c:v>44169.794521956021</c:v>
                </c:pt>
                <c:pt idx="41">
                  <c:v>44169.794522002318</c:v>
                </c:pt>
                <c:pt idx="42">
                  <c:v>44169.794522094904</c:v>
                </c:pt>
                <c:pt idx="43">
                  <c:v>44169.794522141201</c:v>
                </c:pt>
                <c:pt idx="44">
                  <c:v>44169.794522233795</c:v>
                </c:pt>
                <c:pt idx="45">
                  <c:v>44169.794522280092</c:v>
                </c:pt>
                <c:pt idx="46">
                  <c:v>44169.794522384262</c:v>
                </c:pt>
                <c:pt idx="47">
                  <c:v>44169.794522430559</c:v>
                </c:pt>
                <c:pt idx="48">
                  <c:v>44169.794522523145</c:v>
                </c:pt>
                <c:pt idx="49">
                  <c:v>44169.794522569442</c:v>
                </c:pt>
                <c:pt idx="50">
                  <c:v>44169.794522662036</c:v>
                </c:pt>
                <c:pt idx="51">
                  <c:v>44169.794522708333</c:v>
                </c:pt>
                <c:pt idx="52">
                  <c:v>44169.794522800927</c:v>
                </c:pt>
                <c:pt idx="53">
                  <c:v>44169.794522847224</c:v>
                </c:pt>
                <c:pt idx="54">
                  <c:v>44169.794522951386</c:v>
                </c:pt>
                <c:pt idx="55">
                  <c:v>44169.794522997683</c:v>
                </c:pt>
                <c:pt idx="56">
                  <c:v>44169.794523090277</c:v>
                </c:pt>
                <c:pt idx="57">
                  <c:v>44169.794523182871</c:v>
                </c:pt>
                <c:pt idx="58">
                  <c:v>44169.794523229168</c:v>
                </c:pt>
                <c:pt idx="59">
                  <c:v>44169.794523321762</c:v>
                </c:pt>
                <c:pt idx="60">
                  <c:v>44169.794523379627</c:v>
                </c:pt>
                <c:pt idx="61">
                  <c:v>44169.794523472221</c:v>
                </c:pt>
                <c:pt idx="62">
                  <c:v>44169.794523518518</c:v>
                </c:pt>
                <c:pt idx="63">
                  <c:v>44169.794523611112</c:v>
                </c:pt>
                <c:pt idx="64">
                  <c:v>44169.794523657409</c:v>
                </c:pt>
                <c:pt idx="65">
                  <c:v>44169.794523750003</c:v>
                </c:pt>
                <c:pt idx="66">
                  <c:v>44169.794523796299</c:v>
                </c:pt>
                <c:pt idx="67">
                  <c:v>44169.794523888886</c:v>
                </c:pt>
                <c:pt idx="68">
                  <c:v>44169.794523946759</c:v>
                </c:pt>
                <c:pt idx="69">
                  <c:v>44169.794524039353</c:v>
                </c:pt>
                <c:pt idx="70">
                  <c:v>44169.794524131947</c:v>
                </c:pt>
                <c:pt idx="71">
                  <c:v>44169.794524178244</c:v>
                </c:pt>
                <c:pt idx="72">
                  <c:v>44169.79452427083</c:v>
                </c:pt>
                <c:pt idx="73">
                  <c:v>44169.794524317127</c:v>
                </c:pt>
                <c:pt idx="74">
                  <c:v>44169.794524421297</c:v>
                </c:pt>
                <c:pt idx="75">
                  <c:v>44169.794524467594</c:v>
                </c:pt>
                <c:pt idx="76">
                  <c:v>44169.794524560188</c:v>
                </c:pt>
                <c:pt idx="77">
                  <c:v>44169.794524606485</c:v>
                </c:pt>
                <c:pt idx="78">
                  <c:v>44169.794524710647</c:v>
                </c:pt>
                <c:pt idx="79">
                  <c:v>44169.794524745368</c:v>
                </c:pt>
                <c:pt idx="80">
                  <c:v>44169.794524837962</c:v>
                </c:pt>
                <c:pt idx="81">
                  <c:v>44169.794524942132</c:v>
                </c:pt>
                <c:pt idx="82">
                  <c:v>44169.794524988429</c:v>
                </c:pt>
                <c:pt idx="83">
                  <c:v>44169.794525081015</c:v>
                </c:pt>
                <c:pt idx="84">
                  <c:v>44169.794525127312</c:v>
                </c:pt>
                <c:pt idx="85">
                  <c:v>44169.794525219906</c:v>
                </c:pt>
                <c:pt idx="86">
                  <c:v>44169.794525277779</c:v>
                </c:pt>
                <c:pt idx="87">
                  <c:v>44169.794525358797</c:v>
                </c:pt>
                <c:pt idx="88">
                  <c:v>44169.79452541667</c:v>
                </c:pt>
                <c:pt idx="89">
                  <c:v>44169.794525509256</c:v>
                </c:pt>
                <c:pt idx="90">
                  <c:v>44169.794525555553</c:v>
                </c:pt>
                <c:pt idx="91">
                  <c:v>44169.794525648147</c:v>
                </c:pt>
                <c:pt idx="92">
                  <c:v>44169.794525694444</c:v>
                </c:pt>
                <c:pt idx="93">
                  <c:v>44169.794525787038</c:v>
                </c:pt>
                <c:pt idx="94">
                  <c:v>44169.794525879632</c:v>
                </c:pt>
                <c:pt idx="95">
                  <c:v>44169.794525937497</c:v>
                </c:pt>
                <c:pt idx="96">
                  <c:v>44169.794526030091</c:v>
                </c:pt>
                <c:pt idx="97">
                  <c:v>44169.794526076388</c:v>
                </c:pt>
                <c:pt idx="98">
                  <c:v>44169.794526168982</c:v>
                </c:pt>
                <c:pt idx="99">
                  <c:v>44169.794526215279</c:v>
                </c:pt>
                <c:pt idx="100">
                  <c:v>44169.794526307873</c:v>
                </c:pt>
                <c:pt idx="101">
                  <c:v>44169.794526365738</c:v>
                </c:pt>
                <c:pt idx="102">
                  <c:v>44169.794526458332</c:v>
                </c:pt>
                <c:pt idx="103">
                  <c:v>44169.794526504629</c:v>
                </c:pt>
                <c:pt idx="104">
                  <c:v>44169.794526597223</c:v>
                </c:pt>
                <c:pt idx="105">
                  <c:v>44169.79452664352</c:v>
                </c:pt>
                <c:pt idx="106">
                  <c:v>44169.794526736114</c:v>
                </c:pt>
                <c:pt idx="107">
                  <c:v>44169.794526782411</c:v>
                </c:pt>
                <c:pt idx="108">
                  <c:v>44169.794526886573</c:v>
                </c:pt>
                <c:pt idx="109">
                  <c:v>44169.79452693287</c:v>
                </c:pt>
                <c:pt idx="110">
                  <c:v>44169.794527025464</c:v>
                </c:pt>
                <c:pt idx="111">
                  <c:v>44169.794527071761</c:v>
                </c:pt>
                <c:pt idx="112">
                  <c:v>44169.794527164355</c:v>
                </c:pt>
                <c:pt idx="113">
                  <c:v>44169.79452722222</c:v>
                </c:pt>
                <c:pt idx="114">
                  <c:v>44169.794527303238</c:v>
                </c:pt>
                <c:pt idx="115">
                  <c:v>44169.794527372687</c:v>
                </c:pt>
                <c:pt idx="116">
                  <c:v>44169.794527453705</c:v>
                </c:pt>
                <c:pt idx="117">
                  <c:v>44169.794527557868</c:v>
                </c:pt>
                <c:pt idx="118">
                  <c:v>44169.794527592596</c:v>
                </c:pt>
                <c:pt idx="119">
                  <c:v>44169.794527685182</c:v>
                </c:pt>
                <c:pt idx="120">
                  <c:v>44169.794527731479</c:v>
                </c:pt>
                <c:pt idx="121">
                  <c:v>44169.794527824073</c:v>
                </c:pt>
                <c:pt idx="122">
                  <c:v>44169.794527881946</c:v>
                </c:pt>
                <c:pt idx="123">
                  <c:v>44169.79452797454</c:v>
                </c:pt>
                <c:pt idx="124">
                  <c:v>44169.794528020837</c:v>
                </c:pt>
                <c:pt idx="125">
                  <c:v>44169.794528113423</c:v>
                </c:pt>
                <c:pt idx="126">
                  <c:v>44169.79452815972</c:v>
                </c:pt>
                <c:pt idx="127">
                  <c:v>44169.794528252314</c:v>
                </c:pt>
                <c:pt idx="128">
                  <c:v>44169.794528356484</c:v>
                </c:pt>
                <c:pt idx="129">
                  <c:v>44169.794528402781</c:v>
                </c:pt>
                <c:pt idx="130">
                  <c:v>44169.794528495368</c:v>
                </c:pt>
                <c:pt idx="131">
                  <c:v>44169.794528541664</c:v>
                </c:pt>
                <c:pt idx="132">
                  <c:v>44169.794528634258</c:v>
                </c:pt>
                <c:pt idx="133">
                  <c:v>44169.794528680555</c:v>
                </c:pt>
                <c:pt idx="134">
                  <c:v>44169.794528773149</c:v>
                </c:pt>
                <c:pt idx="135">
                  <c:v>44169.794528877312</c:v>
                </c:pt>
                <c:pt idx="136">
                  <c:v>44169.794528923609</c:v>
                </c:pt>
                <c:pt idx="137">
                  <c:v>44169.794529016202</c:v>
                </c:pt>
                <c:pt idx="138">
                  <c:v>44169.794529062499</c:v>
                </c:pt>
                <c:pt idx="139">
                  <c:v>44169.794529155093</c:v>
                </c:pt>
                <c:pt idx="140">
                  <c:v>44169.79452920139</c:v>
                </c:pt>
                <c:pt idx="141">
                  <c:v>44169.794529305553</c:v>
                </c:pt>
                <c:pt idx="142">
                  <c:v>44169.79452935185</c:v>
                </c:pt>
                <c:pt idx="143">
                  <c:v>44169.794529444443</c:v>
                </c:pt>
                <c:pt idx="144">
                  <c:v>44169.79452949074</c:v>
                </c:pt>
                <c:pt idx="145">
                  <c:v>44169.794529583334</c:v>
                </c:pt>
                <c:pt idx="146">
                  <c:v>44169.794529629631</c:v>
                </c:pt>
                <c:pt idx="147">
                  <c:v>44169.794529722225</c:v>
                </c:pt>
                <c:pt idx="148">
                  <c:v>44169.794529768522</c:v>
                </c:pt>
                <c:pt idx="149">
                  <c:v>44169.794529872685</c:v>
                </c:pt>
                <c:pt idx="150">
                  <c:v>44169.794529918981</c:v>
                </c:pt>
                <c:pt idx="151">
                  <c:v>44169.794530011575</c:v>
                </c:pt>
                <c:pt idx="152">
                  <c:v>44169.794530057872</c:v>
                </c:pt>
                <c:pt idx="153">
                  <c:v>44169.794530173611</c:v>
                </c:pt>
                <c:pt idx="154">
                  <c:v>44169.794530243053</c:v>
                </c:pt>
                <c:pt idx="155">
                  <c:v>44169.794530289349</c:v>
                </c:pt>
                <c:pt idx="156">
                  <c:v>44169.794530393519</c:v>
                </c:pt>
                <c:pt idx="157">
                  <c:v>44169.794530439816</c:v>
                </c:pt>
                <c:pt idx="158">
                  <c:v>44169.79453053241</c:v>
                </c:pt>
                <c:pt idx="159">
                  <c:v>44169.794530578707</c:v>
                </c:pt>
                <c:pt idx="160">
                  <c:v>44169.79453068287</c:v>
                </c:pt>
                <c:pt idx="161">
                  <c:v>44169.794530717591</c:v>
                </c:pt>
                <c:pt idx="162">
                  <c:v>44169.794530810184</c:v>
                </c:pt>
                <c:pt idx="163">
                  <c:v>44169.794530868057</c:v>
                </c:pt>
                <c:pt idx="164">
                  <c:v>44169.794530960651</c:v>
                </c:pt>
                <c:pt idx="165">
                  <c:v>44169.794531006941</c:v>
                </c:pt>
                <c:pt idx="166">
                  <c:v>44169.794531099535</c:v>
                </c:pt>
                <c:pt idx="167">
                  <c:v>44169.794531145832</c:v>
                </c:pt>
                <c:pt idx="168">
                  <c:v>44169.794531238425</c:v>
                </c:pt>
                <c:pt idx="169">
                  <c:v>44169.794531284722</c:v>
                </c:pt>
                <c:pt idx="170">
                  <c:v>44169.794531388892</c:v>
                </c:pt>
                <c:pt idx="171">
                  <c:v>44169.794531435182</c:v>
                </c:pt>
                <c:pt idx="172">
                  <c:v>44169.794531527776</c:v>
                </c:pt>
                <c:pt idx="173">
                  <c:v>44169.794531574073</c:v>
                </c:pt>
                <c:pt idx="174">
                  <c:v>44169.794531666666</c:v>
                </c:pt>
                <c:pt idx="175">
                  <c:v>44169.79453175926</c:v>
                </c:pt>
                <c:pt idx="176">
                  <c:v>44169.794531817133</c:v>
                </c:pt>
                <c:pt idx="177">
                  <c:v>44169.79453190972</c:v>
                </c:pt>
                <c:pt idx="178">
                  <c:v>44169.794531956017</c:v>
                </c:pt>
                <c:pt idx="179">
                  <c:v>44169.794532048611</c:v>
                </c:pt>
                <c:pt idx="180">
                  <c:v>44169.794532141204</c:v>
                </c:pt>
                <c:pt idx="181">
                  <c:v>44169.794532199077</c:v>
                </c:pt>
                <c:pt idx="182">
                  <c:v>44169.794532280095</c:v>
                </c:pt>
                <c:pt idx="183">
                  <c:v>44169.794532337961</c:v>
                </c:pt>
                <c:pt idx="184">
                  <c:v>44169.794532430555</c:v>
                </c:pt>
                <c:pt idx="185">
                  <c:v>44169.794532476852</c:v>
                </c:pt>
                <c:pt idx="186">
                  <c:v>44169.794532569445</c:v>
                </c:pt>
                <c:pt idx="187">
                  <c:v>44169.794532615742</c:v>
                </c:pt>
                <c:pt idx="188">
                  <c:v>44169.794532708336</c:v>
                </c:pt>
                <c:pt idx="189">
                  <c:v>44169.794532766202</c:v>
                </c:pt>
                <c:pt idx="190">
                  <c:v>44169.794532858796</c:v>
                </c:pt>
                <c:pt idx="191">
                  <c:v>44169.79453295139</c:v>
                </c:pt>
                <c:pt idx="192">
                  <c:v>44169.794532997686</c:v>
                </c:pt>
                <c:pt idx="193">
                  <c:v>44169.79453309028</c:v>
                </c:pt>
                <c:pt idx="194">
                  <c:v>44169.794533148146</c:v>
                </c:pt>
                <c:pt idx="195">
                  <c:v>44169.794533275461</c:v>
                </c:pt>
                <c:pt idx="196">
                  <c:v>44169.794533379631</c:v>
                </c:pt>
                <c:pt idx="197">
                  <c:v>44169.794533425928</c:v>
                </c:pt>
                <c:pt idx="198">
                  <c:v>44169.794533518521</c:v>
                </c:pt>
                <c:pt idx="199">
                  <c:v>44169.794533564818</c:v>
                </c:pt>
                <c:pt idx="200">
                  <c:v>44169.794533657405</c:v>
                </c:pt>
                <c:pt idx="201">
                  <c:v>44169.794533703702</c:v>
                </c:pt>
                <c:pt idx="202">
                  <c:v>44169.794533807872</c:v>
                </c:pt>
                <c:pt idx="203">
                  <c:v>44169.794533854169</c:v>
                </c:pt>
                <c:pt idx="204">
                  <c:v>44169.794533946762</c:v>
                </c:pt>
                <c:pt idx="205">
                  <c:v>44169.794533993052</c:v>
                </c:pt>
                <c:pt idx="206">
                  <c:v>44169.794534085646</c:v>
                </c:pt>
                <c:pt idx="207">
                  <c:v>44169.794534131943</c:v>
                </c:pt>
                <c:pt idx="208">
                  <c:v>44169.794534224537</c:v>
                </c:pt>
                <c:pt idx="209">
                  <c:v>44169.79453428241</c:v>
                </c:pt>
                <c:pt idx="210">
                  <c:v>44169.794534375003</c:v>
                </c:pt>
                <c:pt idx="211">
                  <c:v>44169.794534421293</c:v>
                </c:pt>
                <c:pt idx="212">
                  <c:v>44169.794534513887</c:v>
                </c:pt>
                <c:pt idx="213">
                  <c:v>44169.794534618057</c:v>
                </c:pt>
                <c:pt idx="214">
                  <c:v>44169.794534652778</c:v>
                </c:pt>
                <c:pt idx="215">
                  <c:v>44169.794534745371</c:v>
                </c:pt>
                <c:pt idx="216">
                  <c:v>44169.794534803237</c:v>
                </c:pt>
                <c:pt idx="217">
                  <c:v>44169.794534895831</c:v>
                </c:pt>
                <c:pt idx="218">
                  <c:v>44169.794534942128</c:v>
                </c:pt>
                <c:pt idx="219">
                  <c:v>44169.794535034722</c:v>
                </c:pt>
                <c:pt idx="220">
                  <c:v>44169.794535081019</c:v>
                </c:pt>
                <c:pt idx="221">
                  <c:v>44169.794535173613</c:v>
                </c:pt>
                <c:pt idx="222">
                  <c:v>44169.794535219909</c:v>
                </c:pt>
                <c:pt idx="223">
                  <c:v>44169.794535324072</c:v>
                </c:pt>
                <c:pt idx="224">
                  <c:v>44169.794535370369</c:v>
                </c:pt>
                <c:pt idx="225">
                  <c:v>44169.794535462963</c:v>
                </c:pt>
                <c:pt idx="226">
                  <c:v>44169.794535555557</c:v>
                </c:pt>
                <c:pt idx="227">
                  <c:v>44169.794535601854</c:v>
                </c:pt>
                <c:pt idx="228">
                  <c:v>44169.794535694447</c:v>
                </c:pt>
                <c:pt idx="229">
                  <c:v>44169.794535740744</c:v>
                </c:pt>
                <c:pt idx="230">
                  <c:v>44169.794535844907</c:v>
                </c:pt>
                <c:pt idx="231">
                  <c:v>44169.794535891204</c:v>
                </c:pt>
                <c:pt idx="232">
                  <c:v>44169.794535983798</c:v>
                </c:pt>
                <c:pt idx="233">
                  <c:v>44169.794536030095</c:v>
                </c:pt>
                <c:pt idx="234">
                  <c:v>44169.794536122688</c:v>
                </c:pt>
                <c:pt idx="235">
                  <c:v>44169.794536168978</c:v>
                </c:pt>
                <c:pt idx="236">
                  <c:v>44169.794536273148</c:v>
                </c:pt>
                <c:pt idx="237">
                  <c:v>44169.794536365742</c:v>
                </c:pt>
                <c:pt idx="238">
                  <c:v>44169.794536412039</c:v>
                </c:pt>
                <c:pt idx="239">
                  <c:v>44169.794536504633</c:v>
                </c:pt>
                <c:pt idx="240">
                  <c:v>44169.794536550929</c:v>
                </c:pt>
                <c:pt idx="241">
                  <c:v>44169.794536643516</c:v>
                </c:pt>
                <c:pt idx="242">
                  <c:v>44169.794536689813</c:v>
                </c:pt>
                <c:pt idx="243">
                  <c:v>44169.794536793983</c:v>
                </c:pt>
                <c:pt idx="244">
                  <c:v>44169.79453684028</c:v>
                </c:pt>
                <c:pt idx="245">
                  <c:v>44169.794536932874</c:v>
                </c:pt>
                <c:pt idx="246">
                  <c:v>44169.794536979163</c:v>
                </c:pt>
                <c:pt idx="247">
                  <c:v>44169.794537071757</c:v>
                </c:pt>
                <c:pt idx="248">
                  <c:v>44169.794537118054</c:v>
                </c:pt>
                <c:pt idx="249">
                  <c:v>44169.794537222224</c:v>
                </c:pt>
                <c:pt idx="250">
                  <c:v>44169.794537314818</c:v>
                </c:pt>
                <c:pt idx="251">
                  <c:v>44169.794537361115</c:v>
                </c:pt>
                <c:pt idx="252">
                  <c:v>44169.794537453701</c:v>
                </c:pt>
                <c:pt idx="253">
                  <c:v>44169.794537499998</c:v>
                </c:pt>
                <c:pt idx="254">
                  <c:v>44169.794537592592</c:v>
                </c:pt>
                <c:pt idx="255">
                  <c:v>44169.794537638889</c:v>
                </c:pt>
                <c:pt idx="256">
                  <c:v>44169.794537731483</c:v>
                </c:pt>
                <c:pt idx="257">
                  <c:v>44169.794537789348</c:v>
                </c:pt>
                <c:pt idx="258">
                  <c:v>44169.794537881942</c:v>
                </c:pt>
                <c:pt idx="259">
                  <c:v>44169.794537928239</c:v>
                </c:pt>
                <c:pt idx="260">
                  <c:v>44169.794538020833</c:v>
                </c:pt>
                <c:pt idx="261">
                  <c:v>44169.79453806713</c:v>
                </c:pt>
                <c:pt idx="262">
                  <c:v>44169.7945381713</c:v>
                </c:pt>
                <c:pt idx="263">
                  <c:v>44169.794538217589</c:v>
                </c:pt>
                <c:pt idx="264">
                  <c:v>44169.794538310183</c:v>
                </c:pt>
                <c:pt idx="265">
                  <c:v>44169.79453835648</c:v>
                </c:pt>
                <c:pt idx="266">
                  <c:v>44169.794538449074</c:v>
                </c:pt>
                <c:pt idx="267">
                  <c:v>44169.794538495371</c:v>
                </c:pt>
                <c:pt idx="268">
                  <c:v>44169.794538587965</c:v>
                </c:pt>
                <c:pt idx="269">
                  <c:v>44169.794538634262</c:v>
                </c:pt>
                <c:pt idx="270">
                  <c:v>44169.794538738424</c:v>
                </c:pt>
                <c:pt idx="271">
                  <c:v>44169.794538784721</c:v>
                </c:pt>
                <c:pt idx="272">
                  <c:v>44169.794538877315</c:v>
                </c:pt>
                <c:pt idx="273">
                  <c:v>44169.794538969909</c:v>
                </c:pt>
                <c:pt idx="274">
                  <c:v>44169.794539016206</c:v>
                </c:pt>
                <c:pt idx="275">
                  <c:v>44169.7945391088</c:v>
                </c:pt>
                <c:pt idx="276">
                  <c:v>44169.794539155089</c:v>
                </c:pt>
                <c:pt idx="277">
                  <c:v>44169.794539259259</c:v>
                </c:pt>
                <c:pt idx="278">
                  <c:v>44169.794539305556</c:v>
                </c:pt>
                <c:pt idx="279">
                  <c:v>44169.79453939815</c:v>
                </c:pt>
                <c:pt idx="280">
                  <c:v>44169.794539444447</c:v>
                </c:pt>
                <c:pt idx="281">
                  <c:v>44169.794539537033</c:v>
                </c:pt>
                <c:pt idx="282">
                  <c:v>44169.79453958333</c:v>
                </c:pt>
                <c:pt idx="283">
                  <c:v>44169.794539675924</c:v>
                </c:pt>
                <c:pt idx="284">
                  <c:v>44169.794539780094</c:v>
                </c:pt>
                <c:pt idx="285">
                  <c:v>44169.794539826391</c:v>
                </c:pt>
                <c:pt idx="286">
                  <c:v>44169.794539918985</c:v>
                </c:pt>
                <c:pt idx="287">
                  <c:v>44169.794539965274</c:v>
                </c:pt>
                <c:pt idx="288">
                  <c:v>44169.794540057868</c:v>
                </c:pt>
                <c:pt idx="289">
                  <c:v>44169.794540150462</c:v>
                </c:pt>
                <c:pt idx="290">
                  <c:v>44169.794540208335</c:v>
                </c:pt>
                <c:pt idx="291">
                  <c:v>44169.794540300929</c:v>
                </c:pt>
                <c:pt idx="292">
                  <c:v>44169.794540347226</c:v>
                </c:pt>
                <c:pt idx="293">
                  <c:v>44169.794540439812</c:v>
                </c:pt>
                <c:pt idx="294">
                  <c:v>44169.794540486109</c:v>
                </c:pt>
                <c:pt idx="295">
                  <c:v>44169.794540578703</c:v>
                </c:pt>
                <c:pt idx="296">
                  <c:v>44169.794540625</c:v>
                </c:pt>
                <c:pt idx="297">
                  <c:v>44169.794540717594</c:v>
                </c:pt>
                <c:pt idx="298">
                  <c:v>44169.79454077546</c:v>
                </c:pt>
                <c:pt idx="299">
                  <c:v>44169.794540868053</c:v>
                </c:pt>
                <c:pt idx="300">
                  <c:v>44169.79454091435</c:v>
                </c:pt>
                <c:pt idx="301">
                  <c:v>44169.794541006944</c:v>
                </c:pt>
                <c:pt idx="302">
                  <c:v>44169.794541053241</c:v>
                </c:pt>
                <c:pt idx="303">
                  <c:v>44169.794541145835</c:v>
                </c:pt>
                <c:pt idx="304">
                  <c:v>44169.794541192132</c:v>
                </c:pt>
                <c:pt idx="305">
                  <c:v>44169.794541296294</c:v>
                </c:pt>
                <c:pt idx="306">
                  <c:v>44169.794541342591</c:v>
                </c:pt>
                <c:pt idx="307">
                  <c:v>44169.79454145833</c:v>
                </c:pt>
                <c:pt idx="308">
                  <c:v>44169.794541481482</c:v>
                </c:pt>
                <c:pt idx="309">
                  <c:v>44169.794541574076</c:v>
                </c:pt>
                <c:pt idx="310">
                  <c:v>44169.79454166667</c:v>
                </c:pt>
                <c:pt idx="311">
                  <c:v>44169.794541724536</c:v>
                </c:pt>
                <c:pt idx="312">
                  <c:v>44169.794541817129</c:v>
                </c:pt>
                <c:pt idx="313">
                  <c:v>44169.794541863426</c:v>
                </c:pt>
                <c:pt idx="314">
                  <c:v>44169.79454195602</c:v>
                </c:pt>
                <c:pt idx="315">
                  <c:v>44169.794542002317</c:v>
                </c:pt>
                <c:pt idx="316">
                  <c:v>44169.794542094911</c:v>
                </c:pt>
                <c:pt idx="317">
                  <c:v>44169.794542141201</c:v>
                </c:pt>
                <c:pt idx="318">
                  <c:v>44169.79454224537</c:v>
                </c:pt>
                <c:pt idx="319">
                  <c:v>44169.794542291667</c:v>
                </c:pt>
                <c:pt idx="320">
                  <c:v>44169.794542384261</c:v>
                </c:pt>
                <c:pt idx="321">
                  <c:v>44169.794542430558</c:v>
                </c:pt>
                <c:pt idx="322">
                  <c:v>44169.794542523145</c:v>
                </c:pt>
                <c:pt idx="323">
                  <c:v>44169.794542569442</c:v>
                </c:pt>
                <c:pt idx="324">
                  <c:v>44169.794542673611</c:v>
                </c:pt>
                <c:pt idx="325">
                  <c:v>44169.794542719908</c:v>
                </c:pt>
                <c:pt idx="326">
                  <c:v>44169.794542812502</c:v>
                </c:pt>
                <c:pt idx="327">
                  <c:v>44169.794542858799</c:v>
                </c:pt>
                <c:pt idx="328">
                  <c:v>44169.794542951386</c:v>
                </c:pt>
                <c:pt idx="329">
                  <c:v>44169.79454304398</c:v>
                </c:pt>
                <c:pt idx="330">
                  <c:v>44169.794543090276</c:v>
                </c:pt>
                <c:pt idx="331">
                  <c:v>44169.79454318287</c:v>
                </c:pt>
                <c:pt idx="332">
                  <c:v>44169.794543240743</c:v>
                </c:pt>
                <c:pt idx="333">
                  <c:v>44169.79454333333</c:v>
                </c:pt>
                <c:pt idx="334">
                  <c:v>44169.794543379627</c:v>
                </c:pt>
                <c:pt idx="335">
                  <c:v>44169.794543472221</c:v>
                </c:pt>
                <c:pt idx="336">
                  <c:v>44169.794543564814</c:v>
                </c:pt>
                <c:pt idx="337">
                  <c:v>44169.794543611111</c:v>
                </c:pt>
                <c:pt idx="338">
                  <c:v>44169.794543703705</c:v>
                </c:pt>
                <c:pt idx="339">
                  <c:v>44169.794543761571</c:v>
                </c:pt>
                <c:pt idx="340">
                  <c:v>44169.794543854165</c:v>
                </c:pt>
                <c:pt idx="341">
                  <c:v>44169.794543900462</c:v>
                </c:pt>
                <c:pt idx="342">
                  <c:v>44169.794543993055</c:v>
                </c:pt>
                <c:pt idx="343">
                  <c:v>44169.794544039352</c:v>
                </c:pt>
                <c:pt idx="344">
                  <c:v>44169.794544131946</c:v>
                </c:pt>
                <c:pt idx="345">
                  <c:v>44169.794544189812</c:v>
                </c:pt>
                <c:pt idx="346">
                  <c:v>44169.794544282406</c:v>
                </c:pt>
                <c:pt idx="347">
                  <c:v>44169.794544375</c:v>
                </c:pt>
                <c:pt idx="348">
                  <c:v>44169.794544421296</c:v>
                </c:pt>
                <c:pt idx="349">
                  <c:v>44169.79454451389</c:v>
                </c:pt>
                <c:pt idx="350">
                  <c:v>44169.794544560187</c:v>
                </c:pt>
                <c:pt idx="351">
                  <c:v>44169.794544652781</c:v>
                </c:pt>
                <c:pt idx="352">
                  <c:v>44169.794544710647</c:v>
                </c:pt>
                <c:pt idx="353">
                  <c:v>44169.794544803241</c:v>
                </c:pt>
                <c:pt idx="354">
                  <c:v>44169.794544849537</c:v>
                </c:pt>
                <c:pt idx="355">
                  <c:v>44169.794544942131</c:v>
                </c:pt>
                <c:pt idx="356">
                  <c:v>44169.794544988428</c:v>
                </c:pt>
                <c:pt idx="357">
                  <c:v>44169.794545081022</c:v>
                </c:pt>
                <c:pt idx="358">
                  <c:v>44169.794545138888</c:v>
                </c:pt>
                <c:pt idx="359">
                  <c:v>44169.794545231482</c:v>
                </c:pt>
                <c:pt idx="360">
                  <c:v>44169.794545277779</c:v>
                </c:pt>
                <c:pt idx="361">
                  <c:v>44169.794545370372</c:v>
                </c:pt>
                <c:pt idx="362">
                  <c:v>44169.794545416669</c:v>
                </c:pt>
                <c:pt idx="363">
                  <c:v>44169.794545509256</c:v>
                </c:pt>
                <c:pt idx="364">
                  <c:v>44169.794545555553</c:v>
                </c:pt>
                <c:pt idx="365">
                  <c:v>44169.794545648147</c:v>
                </c:pt>
                <c:pt idx="366">
                  <c:v>44169.79454570602</c:v>
                </c:pt>
                <c:pt idx="367">
                  <c:v>44169.794545798613</c:v>
                </c:pt>
                <c:pt idx="368">
                  <c:v>44169.79454584491</c:v>
                </c:pt>
                <c:pt idx="369">
                  <c:v>44169.794545937497</c:v>
                </c:pt>
                <c:pt idx="370">
                  <c:v>44169.794546030091</c:v>
                </c:pt>
                <c:pt idx="371">
                  <c:v>44169.794546076388</c:v>
                </c:pt>
                <c:pt idx="372">
                  <c:v>44169.794546168981</c:v>
                </c:pt>
                <c:pt idx="373">
                  <c:v>44169.794546226854</c:v>
                </c:pt>
                <c:pt idx="374">
                  <c:v>44169.794546319441</c:v>
                </c:pt>
                <c:pt idx="375">
                  <c:v>44169.794546365738</c:v>
                </c:pt>
                <c:pt idx="376">
                  <c:v>44169.794546458332</c:v>
                </c:pt>
                <c:pt idx="377">
                  <c:v>44169.794546504629</c:v>
                </c:pt>
                <c:pt idx="378">
                  <c:v>44169.794546597223</c:v>
                </c:pt>
                <c:pt idx="379">
                  <c:v>44169.794546655095</c:v>
                </c:pt>
                <c:pt idx="380">
                  <c:v>44169.794546747682</c:v>
                </c:pt>
                <c:pt idx="381">
                  <c:v>44169.794546793979</c:v>
                </c:pt>
                <c:pt idx="382">
                  <c:v>44169.794546886573</c:v>
                </c:pt>
                <c:pt idx="383">
                  <c:v>44169.794546979167</c:v>
                </c:pt>
                <c:pt idx="384">
                  <c:v>44169.794547025464</c:v>
                </c:pt>
                <c:pt idx="385">
                  <c:v>44169.794547118057</c:v>
                </c:pt>
                <c:pt idx="386">
                  <c:v>44169.794547175923</c:v>
                </c:pt>
                <c:pt idx="387">
                  <c:v>44169.794547268517</c:v>
                </c:pt>
                <c:pt idx="388">
                  <c:v>44169.794547314814</c:v>
                </c:pt>
                <c:pt idx="389">
                  <c:v>44169.794547407408</c:v>
                </c:pt>
                <c:pt idx="390">
                  <c:v>44169.794547453705</c:v>
                </c:pt>
                <c:pt idx="391">
                  <c:v>44169.794547546298</c:v>
                </c:pt>
                <c:pt idx="392">
                  <c:v>44169.794547604164</c:v>
                </c:pt>
                <c:pt idx="393">
                  <c:v>44169.794547696758</c:v>
                </c:pt>
                <c:pt idx="394">
                  <c:v>44169.794547789352</c:v>
                </c:pt>
                <c:pt idx="395">
                  <c:v>44169.794547835649</c:v>
                </c:pt>
                <c:pt idx="396">
                  <c:v>44169.794547928243</c:v>
                </c:pt>
                <c:pt idx="397">
                  <c:v>44169.794547974539</c:v>
                </c:pt>
                <c:pt idx="398">
                  <c:v>44169.794548067126</c:v>
                </c:pt>
                <c:pt idx="399">
                  <c:v>44169.794548113423</c:v>
                </c:pt>
                <c:pt idx="400">
                  <c:v>44169.794548217593</c:v>
                </c:pt>
                <c:pt idx="401">
                  <c:v>44169.79454826389</c:v>
                </c:pt>
                <c:pt idx="402">
                  <c:v>44169.794548356484</c:v>
                </c:pt>
                <c:pt idx="403">
                  <c:v>44169.79454840278</c:v>
                </c:pt>
                <c:pt idx="404">
                  <c:v>44169.794548495367</c:v>
                </c:pt>
                <c:pt idx="405">
                  <c:v>44169.794548541664</c:v>
                </c:pt>
                <c:pt idx="406">
                  <c:v>44169.794548645834</c:v>
                </c:pt>
                <c:pt idx="407">
                  <c:v>44169.794548738428</c:v>
                </c:pt>
                <c:pt idx="408">
                  <c:v>44169.794548784725</c:v>
                </c:pt>
                <c:pt idx="409">
                  <c:v>44169.794548877318</c:v>
                </c:pt>
                <c:pt idx="410">
                  <c:v>44169.794548923608</c:v>
                </c:pt>
                <c:pt idx="411">
                  <c:v>44169.794549016202</c:v>
                </c:pt>
                <c:pt idx="412">
                  <c:v>44169.794549062499</c:v>
                </c:pt>
                <c:pt idx="413">
                  <c:v>44169.794549166669</c:v>
                </c:pt>
                <c:pt idx="414">
                  <c:v>44169.794549212966</c:v>
                </c:pt>
                <c:pt idx="415">
                  <c:v>44169.794549305552</c:v>
                </c:pt>
                <c:pt idx="416">
                  <c:v>44169.794549351849</c:v>
                </c:pt>
                <c:pt idx="417">
                  <c:v>44169.794549444443</c:v>
                </c:pt>
                <c:pt idx="418">
                  <c:v>44169.79454949074</c:v>
                </c:pt>
                <c:pt idx="419">
                  <c:v>44169.79454959491</c:v>
                </c:pt>
                <c:pt idx="420">
                  <c:v>44169.794549641207</c:v>
                </c:pt>
                <c:pt idx="421">
                  <c:v>44169.794549733793</c:v>
                </c:pt>
                <c:pt idx="422">
                  <c:v>44169.79454978009</c:v>
                </c:pt>
                <c:pt idx="423">
                  <c:v>44169.794549872684</c:v>
                </c:pt>
                <c:pt idx="424">
                  <c:v>44169.794549918981</c:v>
                </c:pt>
                <c:pt idx="425">
                  <c:v>44169.794550011575</c:v>
                </c:pt>
                <c:pt idx="426">
                  <c:v>44169.794550057872</c:v>
                </c:pt>
                <c:pt idx="427">
                  <c:v>44169.794550162034</c:v>
                </c:pt>
                <c:pt idx="428">
                  <c:v>44169.794550208331</c:v>
                </c:pt>
                <c:pt idx="429">
                  <c:v>44169.794550300925</c:v>
                </c:pt>
                <c:pt idx="430">
                  <c:v>44169.794550347222</c:v>
                </c:pt>
                <c:pt idx="431">
                  <c:v>44169.794550439816</c:v>
                </c:pt>
                <c:pt idx="432">
                  <c:v>44169.79455053241</c:v>
                </c:pt>
                <c:pt idx="433">
                  <c:v>44169.794550590275</c:v>
                </c:pt>
                <c:pt idx="434">
                  <c:v>44169.794550682869</c:v>
                </c:pt>
                <c:pt idx="435">
                  <c:v>44169.794550729166</c:v>
                </c:pt>
                <c:pt idx="436">
                  <c:v>44169.79455082176</c:v>
                </c:pt>
                <c:pt idx="437">
                  <c:v>44169.794550868057</c:v>
                </c:pt>
                <c:pt idx="438">
                  <c:v>44169.794550960651</c:v>
                </c:pt>
                <c:pt idx="439">
                  <c:v>44169.794551053237</c:v>
                </c:pt>
                <c:pt idx="440">
                  <c:v>44169.79455111111</c:v>
                </c:pt>
                <c:pt idx="441">
                  <c:v>44169.794551203704</c:v>
                </c:pt>
                <c:pt idx="442">
                  <c:v>44169.794551250001</c:v>
                </c:pt>
                <c:pt idx="443">
                  <c:v>44169.794551342595</c:v>
                </c:pt>
                <c:pt idx="444">
                  <c:v>44169.79455140046</c:v>
                </c:pt>
                <c:pt idx="445">
                  <c:v>44169.794551493054</c:v>
                </c:pt>
                <c:pt idx="446">
                  <c:v>44169.794551574072</c:v>
                </c:pt>
                <c:pt idx="447">
                  <c:v>44169.794551631945</c:v>
                </c:pt>
                <c:pt idx="448">
                  <c:v>44169.794551724539</c:v>
                </c:pt>
                <c:pt idx="449">
                  <c:v>44169.794551770836</c:v>
                </c:pt>
                <c:pt idx="450">
                  <c:v>44169.794551863422</c:v>
                </c:pt>
                <c:pt idx="451">
                  <c:v>44169.794551909719</c:v>
                </c:pt>
                <c:pt idx="452">
                  <c:v>44169.794552002313</c:v>
                </c:pt>
                <c:pt idx="453">
                  <c:v>44169.794552060186</c:v>
                </c:pt>
                <c:pt idx="454">
                  <c:v>44169.79455215278</c:v>
                </c:pt>
                <c:pt idx="455">
                  <c:v>44169.794552199077</c:v>
                </c:pt>
                <c:pt idx="456">
                  <c:v>44169.794552291663</c:v>
                </c:pt>
                <c:pt idx="457">
                  <c:v>44169.79455233796</c:v>
                </c:pt>
                <c:pt idx="458">
                  <c:v>44169.79455244213</c:v>
                </c:pt>
                <c:pt idx="459">
                  <c:v>44169.794552476851</c:v>
                </c:pt>
                <c:pt idx="460">
                  <c:v>44169.794552569445</c:v>
                </c:pt>
                <c:pt idx="461">
                  <c:v>44169.794552627318</c:v>
                </c:pt>
                <c:pt idx="462">
                  <c:v>44169.794552719904</c:v>
                </c:pt>
                <c:pt idx="463">
                  <c:v>44169.794552766201</c:v>
                </c:pt>
                <c:pt idx="464">
                  <c:v>44169.794552858795</c:v>
                </c:pt>
                <c:pt idx="465">
                  <c:v>44169.794552905092</c:v>
                </c:pt>
                <c:pt idx="466">
                  <c:v>44169.794552997686</c:v>
                </c:pt>
                <c:pt idx="467">
                  <c:v>44169.794553101849</c:v>
                </c:pt>
                <c:pt idx="468">
                  <c:v>44169.794553148145</c:v>
                </c:pt>
                <c:pt idx="469">
                  <c:v>44169.794553240739</c:v>
                </c:pt>
                <c:pt idx="470">
                  <c:v>44169.794553287036</c:v>
                </c:pt>
                <c:pt idx="471">
                  <c:v>44169.79455337963</c:v>
                </c:pt>
                <c:pt idx="472">
                  <c:v>44169.794553425927</c:v>
                </c:pt>
                <c:pt idx="473">
                  <c:v>44169.794553518521</c:v>
                </c:pt>
                <c:pt idx="474">
                  <c:v>44169.794553576387</c:v>
                </c:pt>
                <c:pt idx="475">
                  <c:v>44169.79455366898</c:v>
                </c:pt>
                <c:pt idx="476">
                  <c:v>44169.794553715277</c:v>
                </c:pt>
                <c:pt idx="477">
                  <c:v>44169.794553807871</c:v>
                </c:pt>
                <c:pt idx="478">
                  <c:v>44169.794553854168</c:v>
                </c:pt>
                <c:pt idx="479">
                  <c:v>44169.794553946762</c:v>
                </c:pt>
                <c:pt idx="480">
                  <c:v>44169.794553993059</c:v>
                </c:pt>
                <c:pt idx="481">
                  <c:v>44169.794554097221</c:v>
                </c:pt>
                <c:pt idx="482">
                  <c:v>44169.794554143518</c:v>
                </c:pt>
                <c:pt idx="483">
                  <c:v>44169.794554236112</c:v>
                </c:pt>
                <c:pt idx="484">
                  <c:v>44169.794554282409</c:v>
                </c:pt>
                <c:pt idx="485">
                  <c:v>44169.794554375003</c:v>
                </c:pt>
                <c:pt idx="486">
                  <c:v>44169.794554467589</c:v>
                </c:pt>
                <c:pt idx="487">
                  <c:v>44169.794554513886</c:v>
                </c:pt>
                <c:pt idx="488">
                  <c:v>44169.79455460648</c:v>
                </c:pt>
                <c:pt idx="489">
                  <c:v>44169.794554664353</c:v>
                </c:pt>
                <c:pt idx="490">
                  <c:v>44169.794554756947</c:v>
                </c:pt>
                <c:pt idx="491">
                  <c:v>44169.794554849534</c:v>
                </c:pt>
                <c:pt idx="492">
                  <c:v>44169.794554895831</c:v>
                </c:pt>
                <c:pt idx="493">
                  <c:v>44169.794554988424</c:v>
                </c:pt>
                <c:pt idx="494">
                  <c:v>44169.794555046297</c:v>
                </c:pt>
                <c:pt idx="495">
                  <c:v>44169.794555138891</c:v>
                </c:pt>
                <c:pt idx="496">
                  <c:v>44169.794555185188</c:v>
                </c:pt>
                <c:pt idx="497">
                  <c:v>44169.794555277775</c:v>
                </c:pt>
                <c:pt idx="498">
                  <c:v>44169.794555324072</c:v>
                </c:pt>
              </c:numCache>
            </c:numRef>
          </c:xVal>
          <c:yVal>
            <c:numRef>
              <c:f>'Data In'!$B$8:$B$506</c:f>
              <c:numCache>
                <c:formatCode>General</c:formatCode>
                <c:ptCount val="499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16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16</c:v>
                </c:pt>
                <c:pt idx="17">
                  <c:v>17</c:v>
                </c:pt>
                <c:pt idx="18">
                  <c:v>672</c:v>
                </c:pt>
                <c:pt idx="19">
                  <c:v>17</c:v>
                </c:pt>
                <c:pt idx="20">
                  <c:v>17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672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672</c:v>
                </c:pt>
                <c:pt idx="31">
                  <c:v>16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16</c:v>
                </c:pt>
                <c:pt idx="43">
                  <c:v>17</c:v>
                </c:pt>
                <c:pt idx="44">
                  <c:v>17</c:v>
                </c:pt>
                <c:pt idx="45">
                  <c:v>16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16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16</c:v>
                </c:pt>
                <c:pt idx="69">
                  <c:v>17</c:v>
                </c:pt>
                <c:pt idx="70">
                  <c:v>672</c:v>
                </c:pt>
                <c:pt idx="71">
                  <c:v>17</c:v>
                </c:pt>
                <c:pt idx="72">
                  <c:v>16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672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16</c:v>
                </c:pt>
                <c:pt idx="82">
                  <c:v>672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16</c:v>
                </c:pt>
                <c:pt idx="88">
                  <c:v>17</c:v>
                </c:pt>
                <c:pt idx="89">
                  <c:v>17</c:v>
                </c:pt>
                <c:pt idx="90">
                  <c:v>16</c:v>
                </c:pt>
                <c:pt idx="91">
                  <c:v>17</c:v>
                </c:pt>
                <c:pt idx="92">
                  <c:v>17</c:v>
                </c:pt>
                <c:pt idx="93">
                  <c:v>16</c:v>
                </c:pt>
                <c:pt idx="94">
                  <c:v>16</c:v>
                </c:pt>
                <c:pt idx="95">
                  <c:v>17</c:v>
                </c:pt>
                <c:pt idx="96">
                  <c:v>16</c:v>
                </c:pt>
                <c:pt idx="97">
                  <c:v>17</c:v>
                </c:pt>
                <c:pt idx="98">
                  <c:v>17</c:v>
                </c:pt>
                <c:pt idx="99">
                  <c:v>16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17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16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672</c:v>
                </c:pt>
                <c:pt idx="123">
                  <c:v>17</c:v>
                </c:pt>
                <c:pt idx="124">
                  <c:v>16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672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671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16</c:v>
                </c:pt>
                <c:pt idx="139">
                  <c:v>17</c:v>
                </c:pt>
                <c:pt idx="140">
                  <c:v>16</c:v>
                </c:pt>
                <c:pt idx="141">
                  <c:v>17</c:v>
                </c:pt>
                <c:pt idx="142">
                  <c:v>16</c:v>
                </c:pt>
                <c:pt idx="143">
                  <c:v>17</c:v>
                </c:pt>
                <c:pt idx="144">
                  <c:v>16</c:v>
                </c:pt>
                <c:pt idx="145">
                  <c:v>16</c:v>
                </c:pt>
                <c:pt idx="146">
                  <c:v>17</c:v>
                </c:pt>
                <c:pt idx="147">
                  <c:v>17</c:v>
                </c:pt>
                <c:pt idx="148">
                  <c:v>16</c:v>
                </c:pt>
                <c:pt idx="149">
                  <c:v>17</c:v>
                </c:pt>
                <c:pt idx="150">
                  <c:v>16</c:v>
                </c:pt>
                <c:pt idx="151">
                  <c:v>16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16</c:v>
                </c:pt>
                <c:pt idx="159">
                  <c:v>17</c:v>
                </c:pt>
                <c:pt idx="160">
                  <c:v>16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16</c:v>
                </c:pt>
                <c:pt idx="172">
                  <c:v>17</c:v>
                </c:pt>
                <c:pt idx="173">
                  <c:v>16</c:v>
                </c:pt>
                <c:pt idx="174">
                  <c:v>672</c:v>
                </c:pt>
                <c:pt idx="175">
                  <c:v>17</c:v>
                </c:pt>
                <c:pt idx="176">
                  <c:v>17</c:v>
                </c:pt>
                <c:pt idx="177">
                  <c:v>16</c:v>
                </c:pt>
                <c:pt idx="178">
                  <c:v>17</c:v>
                </c:pt>
                <c:pt idx="179">
                  <c:v>17</c:v>
                </c:pt>
                <c:pt idx="180">
                  <c:v>672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672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16</c:v>
                </c:pt>
                <c:pt idx="192">
                  <c:v>17</c:v>
                </c:pt>
                <c:pt idx="193">
                  <c:v>17</c:v>
                </c:pt>
                <c:pt idx="194">
                  <c:v>17</c:v>
                </c:pt>
                <c:pt idx="195">
                  <c:v>16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16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17</c:v>
                </c:pt>
                <c:pt idx="217">
                  <c:v>16</c:v>
                </c:pt>
                <c:pt idx="218">
                  <c:v>17</c:v>
                </c:pt>
                <c:pt idx="219">
                  <c:v>16</c:v>
                </c:pt>
                <c:pt idx="220">
                  <c:v>16</c:v>
                </c:pt>
                <c:pt idx="221">
                  <c:v>17</c:v>
                </c:pt>
                <c:pt idx="222">
                  <c:v>17</c:v>
                </c:pt>
                <c:pt idx="223">
                  <c:v>16</c:v>
                </c:pt>
                <c:pt idx="224">
                  <c:v>17</c:v>
                </c:pt>
                <c:pt idx="225">
                  <c:v>672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16</c:v>
                </c:pt>
                <c:pt idx="230">
                  <c:v>16</c:v>
                </c:pt>
                <c:pt idx="231">
                  <c:v>672</c:v>
                </c:pt>
                <c:pt idx="232">
                  <c:v>16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16</c:v>
                </c:pt>
                <c:pt idx="237">
                  <c:v>671</c:v>
                </c:pt>
                <c:pt idx="238">
                  <c:v>16</c:v>
                </c:pt>
                <c:pt idx="239">
                  <c:v>16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16</c:v>
                </c:pt>
                <c:pt idx="249">
                  <c:v>17</c:v>
                </c:pt>
                <c:pt idx="250">
                  <c:v>17</c:v>
                </c:pt>
                <c:pt idx="251">
                  <c:v>16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16</c:v>
                </c:pt>
                <c:pt idx="258">
                  <c:v>16</c:v>
                </c:pt>
                <c:pt idx="259">
                  <c:v>17</c:v>
                </c:pt>
                <c:pt idx="260">
                  <c:v>17</c:v>
                </c:pt>
                <c:pt idx="261">
                  <c:v>16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16</c:v>
                </c:pt>
                <c:pt idx="266">
                  <c:v>17</c:v>
                </c:pt>
                <c:pt idx="267">
                  <c:v>17</c:v>
                </c:pt>
                <c:pt idx="268">
                  <c:v>17</c:v>
                </c:pt>
                <c:pt idx="269">
                  <c:v>17</c:v>
                </c:pt>
                <c:pt idx="270">
                  <c:v>16</c:v>
                </c:pt>
                <c:pt idx="271">
                  <c:v>17</c:v>
                </c:pt>
                <c:pt idx="272">
                  <c:v>17</c:v>
                </c:pt>
                <c:pt idx="273">
                  <c:v>16</c:v>
                </c:pt>
                <c:pt idx="274">
                  <c:v>17</c:v>
                </c:pt>
                <c:pt idx="275">
                  <c:v>16</c:v>
                </c:pt>
                <c:pt idx="276">
                  <c:v>17</c:v>
                </c:pt>
                <c:pt idx="277">
                  <c:v>672</c:v>
                </c:pt>
                <c:pt idx="278">
                  <c:v>17</c:v>
                </c:pt>
                <c:pt idx="279">
                  <c:v>17</c:v>
                </c:pt>
                <c:pt idx="280">
                  <c:v>17</c:v>
                </c:pt>
                <c:pt idx="281">
                  <c:v>17</c:v>
                </c:pt>
                <c:pt idx="282">
                  <c:v>17</c:v>
                </c:pt>
                <c:pt idx="283">
                  <c:v>672</c:v>
                </c:pt>
                <c:pt idx="284">
                  <c:v>16</c:v>
                </c:pt>
                <c:pt idx="285">
                  <c:v>17</c:v>
                </c:pt>
                <c:pt idx="286">
                  <c:v>17</c:v>
                </c:pt>
                <c:pt idx="287">
                  <c:v>17</c:v>
                </c:pt>
                <c:pt idx="288">
                  <c:v>17</c:v>
                </c:pt>
                <c:pt idx="289">
                  <c:v>672</c:v>
                </c:pt>
                <c:pt idx="290">
                  <c:v>17</c:v>
                </c:pt>
                <c:pt idx="291">
                  <c:v>17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16</c:v>
                </c:pt>
                <c:pt idx="299">
                  <c:v>17</c:v>
                </c:pt>
                <c:pt idx="300">
                  <c:v>17</c:v>
                </c:pt>
                <c:pt idx="301">
                  <c:v>16</c:v>
                </c:pt>
                <c:pt idx="302">
                  <c:v>16</c:v>
                </c:pt>
                <c:pt idx="303">
                  <c:v>17</c:v>
                </c:pt>
                <c:pt idx="304">
                  <c:v>16</c:v>
                </c:pt>
                <c:pt idx="305">
                  <c:v>16</c:v>
                </c:pt>
                <c:pt idx="306">
                  <c:v>17</c:v>
                </c:pt>
                <c:pt idx="307">
                  <c:v>17</c:v>
                </c:pt>
                <c:pt idx="308">
                  <c:v>17</c:v>
                </c:pt>
                <c:pt idx="309">
                  <c:v>17</c:v>
                </c:pt>
                <c:pt idx="310">
                  <c:v>17</c:v>
                </c:pt>
                <c:pt idx="311">
                  <c:v>16</c:v>
                </c:pt>
                <c:pt idx="312">
                  <c:v>17</c:v>
                </c:pt>
                <c:pt idx="313">
                  <c:v>16</c:v>
                </c:pt>
                <c:pt idx="314">
                  <c:v>16</c:v>
                </c:pt>
                <c:pt idx="315">
                  <c:v>17</c:v>
                </c:pt>
                <c:pt idx="316">
                  <c:v>17</c:v>
                </c:pt>
                <c:pt idx="317">
                  <c:v>16</c:v>
                </c:pt>
                <c:pt idx="318">
                  <c:v>17</c:v>
                </c:pt>
                <c:pt idx="319">
                  <c:v>17</c:v>
                </c:pt>
                <c:pt idx="320">
                  <c:v>17</c:v>
                </c:pt>
                <c:pt idx="321">
                  <c:v>17</c:v>
                </c:pt>
                <c:pt idx="322">
                  <c:v>17</c:v>
                </c:pt>
                <c:pt idx="323">
                  <c:v>16</c:v>
                </c:pt>
                <c:pt idx="324">
                  <c:v>17</c:v>
                </c:pt>
                <c:pt idx="325">
                  <c:v>17</c:v>
                </c:pt>
                <c:pt idx="326">
                  <c:v>17</c:v>
                </c:pt>
                <c:pt idx="327">
                  <c:v>17</c:v>
                </c:pt>
                <c:pt idx="328">
                  <c:v>17</c:v>
                </c:pt>
                <c:pt idx="329">
                  <c:v>672</c:v>
                </c:pt>
                <c:pt idx="330">
                  <c:v>17</c:v>
                </c:pt>
                <c:pt idx="331">
                  <c:v>16</c:v>
                </c:pt>
                <c:pt idx="332">
                  <c:v>17</c:v>
                </c:pt>
                <c:pt idx="333">
                  <c:v>16</c:v>
                </c:pt>
                <c:pt idx="334">
                  <c:v>17</c:v>
                </c:pt>
                <c:pt idx="335">
                  <c:v>672</c:v>
                </c:pt>
                <c:pt idx="336">
                  <c:v>17</c:v>
                </c:pt>
                <c:pt idx="337">
                  <c:v>17</c:v>
                </c:pt>
                <c:pt idx="338">
                  <c:v>17</c:v>
                </c:pt>
                <c:pt idx="339">
                  <c:v>17</c:v>
                </c:pt>
                <c:pt idx="340">
                  <c:v>17</c:v>
                </c:pt>
                <c:pt idx="341">
                  <c:v>672</c:v>
                </c:pt>
                <c:pt idx="342">
                  <c:v>16</c:v>
                </c:pt>
                <c:pt idx="343">
                  <c:v>17</c:v>
                </c:pt>
                <c:pt idx="344">
                  <c:v>16</c:v>
                </c:pt>
                <c:pt idx="345">
                  <c:v>16</c:v>
                </c:pt>
                <c:pt idx="346">
                  <c:v>17</c:v>
                </c:pt>
                <c:pt idx="347">
                  <c:v>17</c:v>
                </c:pt>
                <c:pt idx="348">
                  <c:v>16</c:v>
                </c:pt>
                <c:pt idx="349">
                  <c:v>17</c:v>
                </c:pt>
                <c:pt idx="350">
                  <c:v>16</c:v>
                </c:pt>
                <c:pt idx="351">
                  <c:v>17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17</c:v>
                </c:pt>
                <c:pt idx="356">
                  <c:v>17</c:v>
                </c:pt>
                <c:pt idx="357">
                  <c:v>17</c:v>
                </c:pt>
                <c:pt idx="358">
                  <c:v>17</c:v>
                </c:pt>
                <c:pt idx="359">
                  <c:v>17</c:v>
                </c:pt>
                <c:pt idx="360">
                  <c:v>16</c:v>
                </c:pt>
                <c:pt idx="361">
                  <c:v>16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</c:v>
                </c:pt>
                <c:pt idx="367">
                  <c:v>16</c:v>
                </c:pt>
                <c:pt idx="368">
                  <c:v>17</c:v>
                </c:pt>
                <c:pt idx="369">
                  <c:v>17</c:v>
                </c:pt>
                <c:pt idx="370">
                  <c:v>17</c:v>
                </c:pt>
                <c:pt idx="371">
                  <c:v>17</c:v>
                </c:pt>
                <c:pt idx="372">
                  <c:v>17</c:v>
                </c:pt>
                <c:pt idx="373">
                  <c:v>16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16</c:v>
                </c:pt>
                <c:pt idx="378">
                  <c:v>17</c:v>
                </c:pt>
                <c:pt idx="379">
                  <c:v>17</c:v>
                </c:pt>
                <c:pt idx="380">
                  <c:v>16</c:v>
                </c:pt>
                <c:pt idx="381">
                  <c:v>672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672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16</c:v>
                </c:pt>
                <c:pt idx="393">
                  <c:v>671</c:v>
                </c:pt>
                <c:pt idx="394">
                  <c:v>17</c:v>
                </c:pt>
                <c:pt idx="395">
                  <c:v>17</c:v>
                </c:pt>
                <c:pt idx="396">
                  <c:v>17</c:v>
                </c:pt>
                <c:pt idx="397">
                  <c:v>16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16</c:v>
                </c:pt>
                <c:pt idx="403">
                  <c:v>16</c:v>
                </c:pt>
                <c:pt idx="404">
                  <c:v>17</c:v>
                </c:pt>
                <c:pt idx="405">
                  <c:v>17</c:v>
                </c:pt>
                <c:pt idx="406">
                  <c:v>16</c:v>
                </c:pt>
                <c:pt idx="407">
                  <c:v>17</c:v>
                </c:pt>
                <c:pt idx="408">
                  <c:v>16</c:v>
                </c:pt>
                <c:pt idx="409">
                  <c:v>17</c:v>
                </c:pt>
                <c:pt idx="410">
                  <c:v>16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16</c:v>
                </c:pt>
                <c:pt idx="416">
                  <c:v>16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16</c:v>
                </c:pt>
                <c:pt idx="421">
                  <c:v>17</c:v>
                </c:pt>
                <c:pt idx="422">
                  <c:v>17</c:v>
                </c:pt>
                <c:pt idx="423">
                  <c:v>16</c:v>
                </c:pt>
                <c:pt idx="424">
                  <c:v>16</c:v>
                </c:pt>
                <c:pt idx="425">
                  <c:v>17</c:v>
                </c:pt>
                <c:pt idx="426">
                  <c:v>17</c:v>
                </c:pt>
                <c:pt idx="427">
                  <c:v>17</c:v>
                </c:pt>
                <c:pt idx="428">
                  <c:v>17</c:v>
                </c:pt>
                <c:pt idx="429">
                  <c:v>16</c:v>
                </c:pt>
                <c:pt idx="430">
                  <c:v>17</c:v>
                </c:pt>
                <c:pt idx="431">
                  <c:v>17</c:v>
                </c:pt>
                <c:pt idx="432">
                  <c:v>17</c:v>
                </c:pt>
                <c:pt idx="433">
                  <c:v>672</c:v>
                </c:pt>
                <c:pt idx="434">
                  <c:v>17</c:v>
                </c:pt>
                <c:pt idx="435">
                  <c:v>16</c:v>
                </c:pt>
                <c:pt idx="436">
                  <c:v>17</c:v>
                </c:pt>
                <c:pt idx="437">
                  <c:v>17</c:v>
                </c:pt>
                <c:pt idx="438">
                  <c:v>17</c:v>
                </c:pt>
                <c:pt idx="439">
                  <c:v>672</c:v>
                </c:pt>
                <c:pt idx="440">
                  <c:v>17</c:v>
                </c:pt>
                <c:pt idx="441">
                  <c:v>17</c:v>
                </c:pt>
                <c:pt idx="442">
                  <c:v>17</c:v>
                </c:pt>
                <c:pt idx="443">
                  <c:v>17</c:v>
                </c:pt>
                <c:pt idx="444">
                  <c:v>16</c:v>
                </c:pt>
                <c:pt idx="445">
                  <c:v>672</c:v>
                </c:pt>
                <c:pt idx="446">
                  <c:v>17</c:v>
                </c:pt>
                <c:pt idx="447">
                  <c:v>17</c:v>
                </c:pt>
                <c:pt idx="448">
                  <c:v>17</c:v>
                </c:pt>
                <c:pt idx="449">
                  <c:v>17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17</c:v>
                </c:pt>
                <c:pt idx="454">
                  <c:v>17</c:v>
                </c:pt>
                <c:pt idx="455">
                  <c:v>17</c:v>
                </c:pt>
                <c:pt idx="456">
                  <c:v>17</c:v>
                </c:pt>
                <c:pt idx="457">
                  <c:v>17</c:v>
                </c:pt>
                <c:pt idx="458">
                  <c:v>17</c:v>
                </c:pt>
                <c:pt idx="459">
                  <c:v>17</c:v>
                </c:pt>
                <c:pt idx="460">
                  <c:v>17</c:v>
                </c:pt>
                <c:pt idx="461">
                  <c:v>16</c:v>
                </c:pt>
                <c:pt idx="462">
                  <c:v>17</c:v>
                </c:pt>
                <c:pt idx="463">
                  <c:v>17</c:v>
                </c:pt>
                <c:pt idx="464">
                  <c:v>17</c:v>
                </c:pt>
                <c:pt idx="465">
                  <c:v>16</c:v>
                </c:pt>
                <c:pt idx="466">
                  <c:v>17</c:v>
                </c:pt>
                <c:pt idx="467">
                  <c:v>17</c:v>
                </c:pt>
                <c:pt idx="468">
                  <c:v>17</c:v>
                </c:pt>
                <c:pt idx="469">
                  <c:v>16</c:v>
                </c:pt>
                <c:pt idx="470">
                  <c:v>17</c:v>
                </c:pt>
                <c:pt idx="471">
                  <c:v>16</c:v>
                </c:pt>
                <c:pt idx="472">
                  <c:v>17</c:v>
                </c:pt>
                <c:pt idx="473">
                  <c:v>16</c:v>
                </c:pt>
                <c:pt idx="474">
                  <c:v>17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16</c:v>
                </c:pt>
                <c:pt idx="483">
                  <c:v>17</c:v>
                </c:pt>
                <c:pt idx="484">
                  <c:v>16</c:v>
                </c:pt>
                <c:pt idx="485">
                  <c:v>672</c:v>
                </c:pt>
                <c:pt idx="486">
                  <c:v>17</c:v>
                </c:pt>
                <c:pt idx="487">
                  <c:v>16</c:v>
                </c:pt>
                <c:pt idx="488">
                  <c:v>16</c:v>
                </c:pt>
                <c:pt idx="489">
                  <c:v>17</c:v>
                </c:pt>
                <c:pt idx="490">
                  <c:v>17</c:v>
                </c:pt>
                <c:pt idx="491">
                  <c:v>672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672</c:v>
                </c:pt>
                <c:pt idx="498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45-4320-879D-A8F5D805C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567904"/>
        <c:axId val="890596144"/>
      </c:scatterChart>
      <c:valAx>
        <c:axId val="191256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596144"/>
        <c:crosses val="autoZero"/>
        <c:crossBetween val="midCat"/>
      </c:valAx>
      <c:valAx>
        <c:axId val="89059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56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In'!$C$9:$C$108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'Data In'!$D$8:$D$108</c:f>
              <c:numCache>
                <c:formatCode>General</c:formatCode>
                <c:ptCount val="101"/>
                <c:pt idx="0">
                  <c:v>110.2421875</c:v>
                </c:pt>
                <c:pt idx="1">
                  <c:v>1.0916087059838655</c:v>
                </c:pt>
                <c:pt idx="2">
                  <c:v>0.84161047014655477</c:v>
                </c:pt>
                <c:pt idx="3">
                  <c:v>1.2508356431476992</c:v>
                </c:pt>
                <c:pt idx="4">
                  <c:v>4.0410277279506115</c:v>
                </c:pt>
                <c:pt idx="5">
                  <c:v>63.131697760514221</c:v>
                </c:pt>
                <c:pt idx="6">
                  <c:v>4.6861325812024033</c:v>
                </c:pt>
                <c:pt idx="7">
                  <c:v>2.2286609518911198</c:v>
                </c:pt>
                <c:pt idx="8">
                  <c:v>1.9759197815906571</c:v>
                </c:pt>
                <c:pt idx="9">
                  <c:v>5.2112246298562797</c:v>
                </c:pt>
                <c:pt idx="10">
                  <c:v>29.978376081017704</c:v>
                </c:pt>
                <c:pt idx="11">
                  <c:v>3.3357834086649492</c:v>
                </c:pt>
                <c:pt idx="12">
                  <c:v>1.1341064563815346</c:v>
                </c:pt>
                <c:pt idx="13">
                  <c:v>0.52202754279290309</c:v>
                </c:pt>
                <c:pt idx="14">
                  <c:v>0.30965348702699946</c:v>
                </c:pt>
                <c:pt idx="15">
                  <c:v>4.7198173972473425</c:v>
                </c:pt>
                <c:pt idx="16">
                  <c:v>2.0624549773359822</c:v>
                </c:pt>
                <c:pt idx="17">
                  <c:v>1.714590114583763</c:v>
                </c:pt>
                <c:pt idx="18">
                  <c:v>1.8194701458355507</c:v>
                </c:pt>
                <c:pt idx="19">
                  <c:v>6.6726544738276381</c:v>
                </c:pt>
                <c:pt idx="20">
                  <c:v>22.248536003572937</c:v>
                </c:pt>
                <c:pt idx="21">
                  <c:v>6.3646294594332087</c:v>
                </c:pt>
                <c:pt idx="22">
                  <c:v>3.5562715923294403</c:v>
                </c:pt>
                <c:pt idx="23">
                  <c:v>2.6135045296768786</c:v>
                </c:pt>
                <c:pt idx="24">
                  <c:v>8.0927981183257405</c:v>
                </c:pt>
                <c:pt idx="25">
                  <c:v>15.635662993166928</c:v>
                </c:pt>
                <c:pt idx="26">
                  <c:v>4.0265605582922399</c:v>
                </c:pt>
                <c:pt idx="27">
                  <c:v>1.5070855192036292</c:v>
                </c:pt>
                <c:pt idx="28">
                  <c:v>0.34913819045629796</c:v>
                </c:pt>
                <c:pt idx="29">
                  <c:v>1.726189610652203</c:v>
                </c:pt>
                <c:pt idx="30">
                  <c:v>8.5537519622064195</c:v>
                </c:pt>
                <c:pt idx="31">
                  <c:v>5.7093983279505975</c:v>
                </c:pt>
                <c:pt idx="32">
                  <c:v>5.0387130337642496</c:v>
                </c:pt>
                <c:pt idx="33">
                  <c:v>4.7752117582517384</c:v>
                </c:pt>
                <c:pt idx="34">
                  <c:v>21.17811995423817</c:v>
                </c:pt>
                <c:pt idx="35">
                  <c:v>34.572486011823003</c:v>
                </c:pt>
                <c:pt idx="36">
                  <c:v>17.977858733113667</c:v>
                </c:pt>
                <c:pt idx="37">
                  <c:v>13.537990973266714</c:v>
                </c:pt>
                <c:pt idx="38">
                  <c:v>10.46163453265903</c:v>
                </c:pt>
                <c:pt idx="39">
                  <c:v>41.157226417199567</c:v>
                </c:pt>
                <c:pt idx="40">
                  <c:v>47.782010127298413</c:v>
                </c:pt>
                <c:pt idx="41">
                  <c:v>25.956851970456878</c:v>
                </c:pt>
                <c:pt idx="42">
                  <c:v>19.014996291285382</c:v>
                </c:pt>
                <c:pt idx="43">
                  <c:v>13.784093212152159</c:v>
                </c:pt>
                <c:pt idx="44">
                  <c:v>49.635250272079304</c:v>
                </c:pt>
                <c:pt idx="45">
                  <c:v>42.50208482877877</c:v>
                </c:pt>
                <c:pt idx="46">
                  <c:v>24.537769032603009</c:v>
                </c:pt>
                <c:pt idx="47">
                  <c:v>17.74060789834968</c:v>
                </c:pt>
                <c:pt idx="48">
                  <c:v>12.360609029536112</c:v>
                </c:pt>
                <c:pt idx="49">
                  <c:v>39.824723191317396</c:v>
                </c:pt>
                <c:pt idx="50">
                  <c:v>24.704842545166347</c:v>
                </c:pt>
                <c:pt idx="51">
                  <c:v>14.478242144325582</c:v>
                </c:pt>
                <c:pt idx="52">
                  <c:v>9.9436210779075118</c:v>
                </c:pt>
                <c:pt idx="53">
                  <c:v>6.2540516588808082</c:v>
                </c:pt>
                <c:pt idx="54">
                  <c:v>15.608347433594899</c:v>
                </c:pt>
                <c:pt idx="55">
                  <c:v>5.4872621237791428</c:v>
                </c:pt>
                <c:pt idx="56">
                  <c:v>1.9770907781610032</c:v>
                </c:pt>
                <c:pt idx="57">
                  <c:v>0.20304060122824319</c:v>
                </c:pt>
                <c:pt idx="58">
                  <c:v>1.7535658139254706</c:v>
                </c:pt>
                <c:pt idx="59">
                  <c:v>9.7858247724914378</c:v>
                </c:pt>
                <c:pt idx="60">
                  <c:v>5.7917924813520072</c:v>
                </c:pt>
                <c:pt idx="61">
                  <c:v>6.1640071547025004</c:v>
                </c:pt>
                <c:pt idx="62">
                  <c:v>6.6151494833273441</c:v>
                </c:pt>
                <c:pt idx="63">
                  <c:v>6.9457714956130046</c:v>
                </c:pt>
                <c:pt idx="64">
                  <c:v>21.140424345407695</c:v>
                </c:pt>
                <c:pt idx="65">
                  <c:v>6.7564695149002247</c:v>
                </c:pt>
                <c:pt idx="66">
                  <c:v>6.3224195186281698</c:v>
                </c:pt>
                <c:pt idx="67">
                  <c:v>5.7257310277293625</c:v>
                </c:pt>
                <c:pt idx="68">
                  <c:v>5.2193161246782731</c:v>
                </c:pt>
                <c:pt idx="69">
                  <c:v>10.412274730499547</c:v>
                </c:pt>
                <c:pt idx="70">
                  <c:v>1.4560624191486411</c:v>
                </c:pt>
                <c:pt idx="71">
                  <c:v>0.19417439548401397</c:v>
                </c:pt>
                <c:pt idx="72">
                  <c:v>1.522293244979819</c:v>
                </c:pt>
                <c:pt idx="73">
                  <c:v>4.4751862286695667</c:v>
                </c:pt>
                <c:pt idx="74">
                  <c:v>17.513934866755449</c:v>
                </c:pt>
                <c:pt idx="75">
                  <c:v>5.4894118865268178</c:v>
                </c:pt>
                <c:pt idx="76">
                  <c:v>7.450074128969411</c:v>
                </c:pt>
                <c:pt idx="77">
                  <c:v>10.450986706591092</c:v>
                </c:pt>
                <c:pt idx="78">
                  <c:v>18.676104320645678</c:v>
                </c:pt>
                <c:pt idx="79">
                  <c:v>47.693026631912069</c:v>
                </c:pt>
                <c:pt idx="80">
                  <c:v>12.30782523714284</c:v>
                </c:pt>
                <c:pt idx="81">
                  <c:v>12.462455620856971</c:v>
                </c:pt>
                <c:pt idx="82">
                  <c:v>15.524374404160216</c:v>
                </c:pt>
                <c:pt idx="83">
                  <c:v>30.300861739261926</c:v>
                </c:pt>
                <c:pt idx="84">
                  <c:v>63.530818775401912</c:v>
                </c:pt>
                <c:pt idx="85">
                  <c:v>17.700344298377942</c:v>
                </c:pt>
                <c:pt idx="86">
                  <c:v>13.299130989800553</c:v>
                </c:pt>
                <c:pt idx="87">
                  <c:v>14.275094452661255</c:v>
                </c:pt>
                <c:pt idx="88">
                  <c:v>32.362393183386502</c:v>
                </c:pt>
                <c:pt idx="89">
                  <c:v>56.628996712019408</c:v>
                </c:pt>
                <c:pt idx="90">
                  <c:v>17.661305886103033</c:v>
                </c:pt>
                <c:pt idx="91">
                  <c:v>10.656738562816246</c:v>
                </c:pt>
                <c:pt idx="92">
                  <c:v>8.6716253709437439</c:v>
                </c:pt>
                <c:pt idx="93">
                  <c:v>22.636369524107465</c:v>
                </c:pt>
                <c:pt idx="94">
                  <c:v>31.754220844781141</c:v>
                </c:pt>
                <c:pt idx="95">
                  <c:v>10.307811825024601</c:v>
                </c:pt>
                <c:pt idx="96">
                  <c:v>5.1489928917519174</c:v>
                </c:pt>
                <c:pt idx="97">
                  <c:v>2.566743046540124</c:v>
                </c:pt>
                <c:pt idx="98">
                  <c:v>5.4225770707497762</c:v>
                </c:pt>
                <c:pt idx="99">
                  <c:v>2.8092989158488701</c:v>
                </c:pt>
                <c:pt idx="100">
                  <c:v>0.99946149851382105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A-4496-942D-841A13F7C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080304"/>
        <c:axId val="828979024"/>
      </c:scatterChart>
      <c:valAx>
        <c:axId val="2048080304"/>
        <c:scaling>
          <c:orientation val="minMax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979024"/>
        <c:crosses val="autoZero"/>
        <c:crossBetween val="midCat"/>
      </c:valAx>
      <c:valAx>
        <c:axId val="828979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8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919164</xdr:colOff>
      <xdr:row>0</xdr:row>
      <xdr:rowOff>104774</xdr:rowOff>
    </xdr:from>
    <xdr:to>
      <xdr:col>13</xdr:col>
      <xdr:colOff>347663</xdr:colOff>
      <xdr:row>7</xdr:row>
      <xdr:rowOff>214311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900114</xdr:colOff>
      <xdr:row>7</xdr:row>
      <xdr:rowOff>228611</xdr:rowOff>
    </xdr:from>
    <xdr:to>
      <xdr:col>13</xdr:col>
      <xdr:colOff>347664</xdr:colOff>
      <xdr:row>16</xdr:row>
      <xdr:rowOff>166697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842961</xdr:colOff>
      <xdr:row>8</xdr:row>
      <xdr:rowOff>80962</xdr:rowOff>
    </xdr:from>
    <xdr:to>
      <xdr:col>13</xdr:col>
      <xdr:colOff>123824</xdr:colOff>
      <xdr:row>9</xdr:row>
      <xdr:rowOff>185737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FB96A5-34D6-4651-949C-56335AAD103D}"/>
            </a:ext>
          </a:extLst>
        </xdr:cNvPr>
        <xdr:cNvSpPr/>
      </xdr:nvSpPr>
      <xdr:spPr>
        <a:xfrm>
          <a:off x="10525124" y="2762250"/>
          <a:ext cx="985838" cy="3524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FFFF00"/>
              </a:solidFill>
              <a:latin typeface="Microsoft GothicNeo" panose="020B0503020000020004" pitchFamily="34" charset="-127"/>
              <a:ea typeface="Microsoft GothicNeo" panose="020B0503020000020004" pitchFamily="34" charset="-127"/>
              <a:cs typeface="Microsoft GothicNeo" panose="020B0503020000020004" pitchFamily="34" charset="-127"/>
            </a:rPr>
            <a:t>Run FFT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793FC-6B24-4C6A-A041-6BEC3AF988BF}">
  <sheetPr codeName="Sheet1"/>
  <dimension ref="C8:E508"/>
  <sheetViews>
    <sheetView workbookViewId="0">
      <selection sqref="A1:J1"/>
    </sheetView>
  </sheetViews>
  <sheetFormatPr defaultRowHeight="14.25" x14ac:dyDescent="0.45"/>
  <sheetData>
    <row r="8" spans="3:5" x14ac:dyDescent="0.45">
      <c r="C8" s="30"/>
      <c r="D8" s="30"/>
      <c r="E8" s="30"/>
    </row>
    <row r="9" spans="3:5" x14ac:dyDescent="0.45">
      <c r="C9" s="31"/>
      <c r="D9" s="31"/>
      <c r="E9" s="31"/>
    </row>
    <row r="10" spans="3:5" x14ac:dyDescent="0.45">
      <c r="C10" s="31"/>
      <c r="D10" s="31"/>
      <c r="E10" s="31"/>
    </row>
    <row r="11" spans="3:5" x14ac:dyDescent="0.45">
      <c r="C11" s="31"/>
      <c r="D11" s="31"/>
      <c r="E11" s="31"/>
    </row>
    <row r="12" spans="3:5" x14ac:dyDescent="0.45">
      <c r="C12" s="31"/>
      <c r="D12" s="31"/>
      <c r="E12" s="31"/>
    </row>
    <row r="13" spans="3:5" x14ac:dyDescent="0.45">
      <c r="C13" s="31"/>
      <c r="D13" s="31"/>
      <c r="E13" s="31"/>
    </row>
    <row r="14" spans="3:5" x14ac:dyDescent="0.45">
      <c r="C14" s="31"/>
      <c r="D14" s="31"/>
      <c r="E14" s="31"/>
    </row>
    <row r="15" spans="3:5" x14ac:dyDescent="0.45">
      <c r="C15" s="31"/>
      <c r="D15" s="31"/>
      <c r="E15" s="31"/>
    </row>
    <row r="16" spans="3:5" x14ac:dyDescent="0.45">
      <c r="C16" s="31"/>
      <c r="D16" s="31"/>
      <c r="E16" s="31"/>
    </row>
    <row r="17" spans="3:5" x14ac:dyDescent="0.45">
      <c r="C17" s="31"/>
      <c r="D17" s="31"/>
      <c r="E17" s="31"/>
    </row>
    <row r="18" spans="3:5" x14ac:dyDescent="0.45">
      <c r="C18" s="31"/>
      <c r="D18" s="31"/>
      <c r="E18" s="31"/>
    </row>
    <row r="19" spans="3:5" x14ac:dyDescent="0.45">
      <c r="C19" s="31"/>
      <c r="D19" s="31"/>
      <c r="E19" s="31"/>
    </row>
    <row r="20" spans="3:5" x14ac:dyDescent="0.45">
      <c r="C20" s="31"/>
      <c r="D20" s="31"/>
      <c r="E20" s="31"/>
    </row>
    <row r="21" spans="3:5" x14ac:dyDescent="0.45">
      <c r="C21" s="31"/>
      <c r="D21" s="31"/>
      <c r="E21" s="31"/>
    </row>
    <row r="22" spans="3:5" x14ac:dyDescent="0.45">
      <c r="C22" s="31"/>
      <c r="D22" s="31"/>
      <c r="E22" s="31"/>
    </row>
    <row r="23" spans="3:5" x14ac:dyDescent="0.45">
      <c r="C23" s="31"/>
      <c r="D23" s="31"/>
      <c r="E23" s="31"/>
    </row>
    <row r="24" spans="3:5" x14ac:dyDescent="0.45">
      <c r="C24" s="31"/>
      <c r="D24" s="31"/>
      <c r="E24" s="31"/>
    </row>
    <row r="25" spans="3:5" x14ac:dyDescent="0.45">
      <c r="C25" s="31"/>
      <c r="D25" s="31"/>
      <c r="E25" s="31"/>
    </row>
    <row r="26" spans="3:5" x14ac:dyDescent="0.45">
      <c r="C26" s="31"/>
      <c r="D26" s="31"/>
      <c r="E26" s="31"/>
    </row>
    <row r="27" spans="3:5" x14ac:dyDescent="0.45">
      <c r="C27" s="31"/>
      <c r="D27" s="31"/>
      <c r="E27" s="31"/>
    </row>
    <row r="28" spans="3:5" x14ac:dyDescent="0.45">
      <c r="C28" s="31"/>
      <c r="D28" s="31"/>
      <c r="E28" s="31"/>
    </row>
    <row r="29" spans="3:5" x14ac:dyDescent="0.45">
      <c r="C29" s="31"/>
      <c r="D29" s="31"/>
      <c r="E29" s="31"/>
    </row>
    <row r="30" spans="3:5" x14ac:dyDescent="0.45">
      <c r="C30" s="31"/>
      <c r="D30" s="31"/>
      <c r="E30" s="31"/>
    </row>
    <row r="31" spans="3:5" x14ac:dyDescent="0.45">
      <c r="C31" s="31"/>
      <c r="D31" s="31"/>
      <c r="E31" s="31"/>
    </row>
    <row r="32" spans="3:5" x14ac:dyDescent="0.45">
      <c r="C32" s="31"/>
      <c r="D32" s="31"/>
      <c r="E32" s="31"/>
    </row>
    <row r="33" spans="3:5" x14ac:dyDescent="0.45">
      <c r="C33" s="31"/>
      <c r="D33" s="31"/>
      <c r="E33" s="31"/>
    </row>
    <row r="34" spans="3:5" x14ac:dyDescent="0.45">
      <c r="C34" s="31"/>
      <c r="D34" s="31"/>
      <c r="E34" s="31"/>
    </row>
    <row r="35" spans="3:5" x14ac:dyDescent="0.45">
      <c r="C35" s="31"/>
      <c r="D35" s="31"/>
      <c r="E35" s="31"/>
    </row>
    <row r="36" spans="3:5" x14ac:dyDescent="0.45">
      <c r="C36" s="31"/>
      <c r="D36" s="31"/>
      <c r="E36" s="31"/>
    </row>
    <row r="37" spans="3:5" x14ac:dyDescent="0.45">
      <c r="C37" s="31"/>
      <c r="D37" s="31"/>
      <c r="E37" s="31"/>
    </row>
    <row r="38" spans="3:5" x14ac:dyDescent="0.45">
      <c r="C38" s="31"/>
      <c r="D38" s="31"/>
      <c r="E38" s="31"/>
    </row>
    <row r="39" spans="3:5" x14ac:dyDescent="0.45">
      <c r="C39" s="31"/>
      <c r="D39" s="31"/>
      <c r="E39" s="31"/>
    </row>
    <row r="40" spans="3:5" x14ac:dyDescent="0.45">
      <c r="C40" s="31"/>
      <c r="D40" s="31"/>
      <c r="E40" s="31"/>
    </row>
    <row r="41" spans="3:5" x14ac:dyDescent="0.45">
      <c r="C41" s="31"/>
      <c r="D41" s="31"/>
      <c r="E41" s="31"/>
    </row>
    <row r="42" spans="3:5" x14ac:dyDescent="0.45">
      <c r="C42" s="31"/>
      <c r="D42" s="31"/>
      <c r="E42" s="31"/>
    </row>
    <row r="43" spans="3:5" x14ac:dyDescent="0.45">
      <c r="C43" s="31"/>
      <c r="D43" s="31"/>
      <c r="E43" s="31"/>
    </row>
    <row r="44" spans="3:5" x14ac:dyDescent="0.45">
      <c r="C44" s="31"/>
      <c r="D44" s="31"/>
      <c r="E44" s="31"/>
    </row>
    <row r="45" spans="3:5" x14ac:dyDescent="0.45">
      <c r="C45" s="31"/>
      <c r="D45" s="31"/>
      <c r="E45" s="31"/>
    </row>
    <row r="46" spans="3:5" x14ac:dyDescent="0.45">
      <c r="C46" s="31"/>
      <c r="D46" s="31"/>
      <c r="E46" s="31"/>
    </row>
    <row r="47" spans="3:5" x14ac:dyDescent="0.45">
      <c r="C47" s="31"/>
      <c r="D47" s="31"/>
      <c r="E47" s="31"/>
    </row>
    <row r="48" spans="3:5" x14ac:dyDescent="0.45">
      <c r="C48" s="31"/>
      <c r="D48" s="31"/>
      <c r="E48" s="31"/>
    </row>
    <row r="49" spans="3:5" x14ac:dyDescent="0.45">
      <c r="C49" s="31"/>
      <c r="D49" s="31"/>
      <c r="E49" s="31"/>
    </row>
    <row r="50" spans="3:5" x14ac:dyDescent="0.45">
      <c r="C50" s="31"/>
      <c r="D50" s="31"/>
      <c r="E50" s="31"/>
    </row>
    <row r="51" spans="3:5" x14ac:dyDescent="0.45">
      <c r="C51" s="31"/>
      <c r="D51" s="31"/>
      <c r="E51" s="31"/>
    </row>
    <row r="52" spans="3:5" x14ac:dyDescent="0.45">
      <c r="C52" s="31"/>
      <c r="D52" s="31"/>
      <c r="E52" s="31"/>
    </row>
    <row r="53" spans="3:5" x14ac:dyDescent="0.45">
      <c r="C53" s="31"/>
      <c r="D53" s="31"/>
      <c r="E53" s="31"/>
    </row>
    <row r="54" spans="3:5" x14ac:dyDescent="0.45">
      <c r="C54" s="31"/>
      <c r="D54" s="31"/>
      <c r="E54" s="31"/>
    </row>
    <row r="55" spans="3:5" x14ac:dyDescent="0.45">
      <c r="C55" s="31"/>
      <c r="D55" s="31"/>
      <c r="E55" s="31"/>
    </row>
    <row r="56" spans="3:5" x14ac:dyDescent="0.45">
      <c r="C56" s="31"/>
      <c r="D56" s="31"/>
      <c r="E56" s="31"/>
    </row>
    <row r="57" spans="3:5" x14ac:dyDescent="0.45">
      <c r="C57" s="31"/>
      <c r="D57" s="31"/>
      <c r="E57" s="31"/>
    </row>
    <row r="58" spans="3:5" x14ac:dyDescent="0.45">
      <c r="C58" s="31"/>
      <c r="D58" s="31"/>
      <c r="E58" s="31"/>
    </row>
    <row r="59" spans="3:5" x14ac:dyDescent="0.45">
      <c r="C59" s="31"/>
      <c r="D59" s="31"/>
      <c r="E59" s="31"/>
    </row>
    <row r="60" spans="3:5" x14ac:dyDescent="0.45">
      <c r="C60" s="31"/>
      <c r="D60" s="31"/>
      <c r="E60" s="31"/>
    </row>
    <row r="61" spans="3:5" x14ac:dyDescent="0.45">
      <c r="C61" s="31"/>
      <c r="D61" s="31"/>
      <c r="E61" s="31"/>
    </row>
    <row r="62" spans="3:5" x14ac:dyDescent="0.45">
      <c r="C62" s="31"/>
      <c r="D62" s="31"/>
      <c r="E62" s="31"/>
    </row>
    <row r="63" spans="3:5" x14ac:dyDescent="0.45">
      <c r="C63" s="31"/>
      <c r="D63" s="31"/>
      <c r="E63" s="31"/>
    </row>
    <row r="64" spans="3:5" x14ac:dyDescent="0.45">
      <c r="C64" s="31"/>
      <c r="D64" s="31"/>
      <c r="E64" s="31"/>
    </row>
    <row r="65" spans="3:5" x14ac:dyDescent="0.45">
      <c r="C65" s="31"/>
      <c r="D65" s="31"/>
      <c r="E65" s="31"/>
    </row>
    <row r="66" spans="3:5" x14ac:dyDescent="0.45">
      <c r="C66" s="31"/>
      <c r="D66" s="31"/>
      <c r="E66" s="31"/>
    </row>
    <row r="67" spans="3:5" x14ac:dyDescent="0.45">
      <c r="C67" s="31"/>
      <c r="D67" s="31"/>
      <c r="E67" s="31"/>
    </row>
    <row r="68" spans="3:5" x14ac:dyDescent="0.45">
      <c r="C68" s="31"/>
      <c r="D68" s="31"/>
      <c r="E68" s="31"/>
    </row>
    <row r="69" spans="3:5" x14ac:dyDescent="0.45">
      <c r="C69" s="31"/>
      <c r="D69" s="31"/>
      <c r="E69" s="31"/>
    </row>
    <row r="70" spans="3:5" x14ac:dyDescent="0.45">
      <c r="C70" s="31"/>
      <c r="D70" s="31"/>
      <c r="E70" s="31"/>
    </row>
    <row r="71" spans="3:5" x14ac:dyDescent="0.45">
      <c r="C71" s="31"/>
      <c r="D71" s="31"/>
      <c r="E71" s="31"/>
    </row>
    <row r="72" spans="3:5" x14ac:dyDescent="0.45">
      <c r="C72" s="31"/>
      <c r="D72" s="31"/>
      <c r="E72" s="31"/>
    </row>
    <row r="73" spans="3:5" x14ac:dyDescent="0.45">
      <c r="C73" s="31"/>
      <c r="D73" s="31"/>
      <c r="E73" s="31"/>
    </row>
    <row r="74" spans="3:5" x14ac:dyDescent="0.45">
      <c r="C74" s="31"/>
      <c r="D74" s="31"/>
      <c r="E74" s="31"/>
    </row>
    <row r="75" spans="3:5" x14ac:dyDescent="0.45">
      <c r="C75" s="31"/>
      <c r="D75" s="31"/>
      <c r="E75" s="31"/>
    </row>
    <row r="76" spans="3:5" x14ac:dyDescent="0.45">
      <c r="C76" s="31"/>
      <c r="D76" s="31"/>
      <c r="E76" s="31"/>
    </row>
    <row r="77" spans="3:5" x14ac:dyDescent="0.45">
      <c r="C77" s="31"/>
      <c r="D77" s="31"/>
      <c r="E77" s="31"/>
    </row>
    <row r="78" spans="3:5" x14ac:dyDescent="0.45">
      <c r="C78" s="31"/>
      <c r="D78" s="31"/>
      <c r="E78" s="31"/>
    </row>
    <row r="79" spans="3:5" x14ac:dyDescent="0.45">
      <c r="C79" s="31"/>
      <c r="D79" s="31"/>
      <c r="E79" s="31"/>
    </row>
    <row r="80" spans="3:5" x14ac:dyDescent="0.45">
      <c r="C80" s="31"/>
      <c r="D80" s="31"/>
      <c r="E80" s="31"/>
    </row>
    <row r="81" spans="3:5" x14ac:dyDescent="0.45">
      <c r="C81" s="31"/>
      <c r="D81" s="31"/>
      <c r="E81" s="31"/>
    </row>
    <row r="82" spans="3:5" x14ac:dyDescent="0.45">
      <c r="C82" s="31"/>
      <c r="D82" s="31"/>
      <c r="E82" s="31"/>
    </row>
    <row r="83" spans="3:5" x14ac:dyDescent="0.45">
      <c r="C83" s="31"/>
      <c r="D83" s="31"/>
      <c r="E83" s="31"/>
    </row>
    <row r="84" spans="3:5" x14ac:dyDescent="0.45">
      <c r="C84" s="31"/>
      <c r="D84" s="31"/>
      <c r="E84" s="31"/>
    </row>
    <row r="85" spans="3:5" x14ac:dyDescent="0.45">
      <c r="C85" s="31"/>
      <c r="D85" s="31"/>
      <c r="E85" s="31"/>
    </row>
    <row r="86" spans="3:5" x14ac:dyDescent="0.45">
      <c r="C86" s="31"/>
      <c r="D86" s="31"/>
      <c r="E86" s="31"/>
    </row>
    <row r="87" spans="3:5" x14ac:dyDescent="0.45">
      <c r="C87" s="31"/>
      <c r="D87" s="31"/>
      <c r="E87" s="31"/>
    </row>
    <row r="88" spans="3:5" x14ac:dyDescent="0.45">
      <c r="C88" s="31"/>
      <c r="D88" s="31"/>
      <c r="E88" s="31"/>
    </row>
    <row r="89" spans="3:5" x14ac:dyDescent="0.45">
      <c r="C89" s="31"/>
      <c r="D89" s="31"/>
      <c r="E89" s="31"/>
    </row>
    <row r="90" spans="3:5" x14ac:dyDescent="0.45">
      <c r="C90" s="31"/>
      <c r="D90" s="31"/>
      <c r="E90" s="31"/>
    </row>
    <row r="91" spans="3:5" x14ac:dyDescent="0.45">
      <c r="C91" s="31"/>
      <c r="D91" s="31"/>
      <c r="E91" s="31"/>
    </row>
    <row r="92" spans="3:5" x14ac:dyDescent="0.45">
      <c r="C92" s="31"/>
      <c r="D92" s="31"/>
      <c r="E92" s="31"/>
    </row>
    <row r="93" spans="3:5" x14ac:dyDescent="0.45">
      <c r="C93" s="31"/>
      <c r="D93" s="31"/>
      <c r="E93" s="31"/>
    </row>
    <row r="94" spans="3:5" x14ac:dyDescent="0.45">
      <c r="C94" s="31"/>
      <c r="D94" s="31"/>
      <c r="E94" s="31"/>
    </row>
    <row r="95" spans="3:5" x14ac:dyDescent="0.45">
      <c r="C95" s="31"/>
      <c r="D95" s="31"/>
      <c r="E95" s="31"/>
    </row>
    <row r="96" spans="3:5" x14ac:dyDescent="0.45">
      <c r="C96" s="31"/>
      <c r="D96" s="31"/>
      <c r="E96" s="31"/>
    </row>
    <row r="97" spans="3:5" x14ac:dyDescent="0.45">
      <c r="C97" s="31"/>
      <c r="D97" s="31"/>
      <c r="E97" s="31"/>
    </row>
    <row r="98" spans="3:5" x14ac:dyDescent="0.45">
      <c r="C98" s="31"/>
      <c r="D98" s="31"/>
      <c r="E98" s="31"/>
    </row>
    <row r="99" spans="3:5" x14ac:dyDescent="0.45">
      <c r="C99" s="31"/>
      <c r="D99" s="31"/>
      <c r="E99" s="31"/>
    </row>
    <row r="100" spans="3:5" x14ac:dyDescent="0.45">
      <c r="C100" s="31"/>
      <c r="D100" s="31"/>
      <c r="E100" s="31"/>
    </row>
    <row r="101" spans="3:5" x14ac:dyDescent="0.45">
      <c r="C101" s="31"/>
      <c r="D101" s="31"/>
      <c r="E101" s="31"/>
    </row>
    <row r="102" spans="3:5" x14ac:dyDescent="0.45">
      <c r="C102" s="31"/>
      <c r="D102" s="31"/>
      <c r="E102" s="31"/>
    </row>
    <row r="103" spans="3:5" x14ac:dyDescent="0.45">
      <c r="C103" s="31"/>
      <c r="D103" s="31"/>
      <c r="E103" s="31"/>
    </row>
    <row r="104" spans="3:5" x14ac:dyDescent="0.45">
      <c r="C104" s="31"/>
      <c r="D104" s="31"/>
      <c r="E104" s="31"/>
    </row>
    <row r="105" spans="3:5" x14ac:dyDescent="0.45">
      <c r="C105" s="31"/>
      <c r="D105" s="31"/>
      <c r="E105" s="31"/>
    </row>
    <row r="106" spans="3:5" x14ac:dyDescent="0.45">
      <c r="C106" s="31"/>
      <c r="D106" s="31"/>
      <c r="E106" s="31"/>
    </row>
    <row r="107" spans="3:5" x14ac:dyDescent="0.45">
      <c r="C107" s="31"/>
      <c r="D107" s="31"/>
      <c r="E107" s="31"/>
    </row>
    <row r="108" spans="3:5" x14ac:dyDescent="0.45">
      <c r="C108" s="31"/>
      <c r="D108" s="31"/>
      <c r="E108" s="31"/>
    </row>
    <row r="109" spans="3:5" x14ac:dyDescent="0.45">
      <c r="C109" s="31"/>
      <c r="D109" s="31"/>
      <c r="E109" s="31"/>
    </row>
    <row r="110" spans="3:5" x14ac:dyDescent="0.45">
      <c r="C110" s="31"/>
      <c r="D110" s="31"/>
      <c r="E110" s="31"/>
    </row>
    <row r="111" spans="3:5" x14ac:dyDescent="0.45">
      <c r="C111" s="31"/>
      <c r="D111" s="31"/>
      <c r="E111" s="31"/>
    </row>
    <row r="112" spans="3:5" x14ac:dyDescent="0.45">
      <c r="C112" s="31"/>
      <c r="D112" s="31"/>
      <c r="E112" s="31"/>
    </row>
    <row r="113" spans="3:5" x14ac:dyDescent="0.45">
      <c r="C113" s="31"/>
      <c r="D113" s="31"/>
      <c r="E113" s="31"/>
    </row>
    <row r="114" spans="3:5" x14ac:dyDescent="0.45">
      <c r="C114" s="31"/>
      <c r="D114" s="31"/>
      <c r="E114" s="31"/>
    </row>
    <row r="115" spans="3:5" x14ac:dyDescent="0.45">
      <c r="C115" s="31"/>
      <c r="D115" s="31"/>
      <c r="E115" s="31"/>
    </row>
    <row r="116" spans="3:5" x14ac:dyDescent="0.45">
      <c r="C116" s="31"/>
      <c r="D116" s="31"/>
      <c r="E116" s="31"/>
    </row>
    <row r="117" spans="3:5" x14ac:dyDescent="0.45">
      <c r="C117" s="31"/>
      <c r="D117" s="31"/>
      <c r="E117" s="31"/>
    </row>
    <row r="118" spans="3:5" x14ac:dyDescent="0.45">
      <c r="C118" s="31"/>
      <c r="D118" s="31"/>
      <c r="E118" s="31"/>
    </row>
    <row r="119" spans="3:5" x14ac:dyDescent="0.45">
      <c r="C119" s="31"/>
      <c r="D119" s="31"/>
      <c r="E119" s="31"/>
    </row>
    <row r="120" spans="3:5" x14ac:dyDescent="0.45">
      <c r="C120" s="31"/>
      <c r="D120" s="31"/>
      <c r="E120" s="31"/>
    </row>
    <row r="121" spans="3:5" x14ac:dyDescent="0.45">
      <c r="C121" s="31"/>
      <c r="D121" s="31"/>
      <c r="E121" s="31"/>
    </row>
    <row r="122" spans="3:5" x14ac:dyDescent="0.45">
      <c r="C122" s="31"/>
      <c r="D122" s="31"/>
      <c r="E122" s="31"/>
    </row>
    <row r="123" spans="3:5" x14ac:dyDescent="0.45">
      <c r="C123" s="31"/>
      <c r="D123" s="31"/>
      <c r="E123" s="31"/>
    </row>
    <row r="124" spans="3:5" x14ac:dyDescent="0.45">
      <c r="C124" s="31"/>
      <c r="D124" s="31"/>
      <c r="E124" s="31"/>
    </row>
    <row r="125" spans="3:5" x14ac:dyDescent="0.45">
      <c r="C125" s="31"/>
      <c r="D125" s="31"/>
      <c r="E125" s="31"/>
    </row>
    <row r="126" spans="3:5" x14ac:dyDescent="0.45">
      <c r="C126" s="31"/>
      <c r="D126" s="31"/>
      <c r="E126" s="31"/>
    </row>
    <row r="127" spans="3:5" x14ac:dyDescent="0.45">
      <c r="C127" s="31"/>
      <c r="D127" s="31"/>
      <c r="E127" s="31"/>
    </row>
    <row r="128" spans="3:5" x14ac:dyDescent="0.45">
      <c r="C128" s="31"/>
      <c r="D128" s="31"/>
      <c r="E128" s="31"/>
    </row>
    <row r="129" spans="3:5" x14ac:dyDescent="0.45">
      <c r="C129" s="31"/>
      <c r="D129" s="31"/>
      <c r="E129" s="31"/>
    </row>
    <row r="130" spans="3:5" x14ac:dyDescent="0.45">
      <c r="C130" s="31"/>
      <c r="D130" s="31"/>
      <c r="E130" s="31"/>
    </row>
    <row r="131" spans="3:5" x14ac:dyDescent="0.45">
      <c r="C131" s="31"/>
      <c r="D131" s="31"/>
      <c r="E131" s="31"/>
    </row>
    <row r="132" spans="3:5" x14ac:dyDescent="0.45">
      <c r="C132" s="31"/>
      <c r="D132" s="31"/>
      <c r="E132" s="31"/>
    </row>
    <row r="133" spans="3:5" x14ac:dyDescent="0.45">
      <c r="C133" s="31"/>
      <c r="D133" s="31"/>
      <c r="E133" s="31"/>
    </row>
    <row r="134" spans="3:5" x14ac:dyDescent="0.45">
      <c r="C134" s="31"/>
      <c r="D134" s="31"/>
      <c r="E134" s="31"/>
    </row>
    <row r="135" spans="3:5" x14ac:dyDescent="0.45">
      <c r="C135" s="31"/>
      <c r="D135" s="31"/>
      <c r="E135" s="31"/>
    </row>
    <row r="136" spans="3:5" x14ac:dyDescent="0.45">
      <c r="C136" s="31"/>
      <c r="D136" s="31"/>
      <c r="E136" s="31"/>
    </row>
    <row r="137" spans="3:5" x14ac:dyDescent="0.45">
      <c r="C137" s="31"/>
      <c r="D137" s="31"/>
      <c r="E137" s="31"/>
    </row>
    <row r="138" spans="3:5" x14ac:dyDescent="0.45">
      <c r="C138" s="31"/>
      <c r="D138" s="31"/>
      <c r="E138" s="31"/>
    </row>
    <row r="139" spans="3:5" x14ac:dyDescent="0.45">
      <c r="C139" s="31"/>
      <c r="D139" s="31"/>
      <c r="E139" s="31"/>
    </row>
    <row r="140" spans="3:5" x14ac:dyDescent="0.45">
      <c r="C140" s="31"/>
      <c r="D140" s="31"/>
      <c r="E140" s="31"/>
    </row>
    <row r="141" spans="3:5" x14ac:dyDescent="0.45">
      <c r="C141" s="31"/>
      <c r="D141" s="31"/>
      <c r="E141" s="31"/>
    </row>
    <row r="142" spans="3:5" x14ac:dyDescent="0.45">
      <c r="C142" s="31"/>
      <c r="D142" s="31"/>
      <c r="E142" s="31"/>
    </row>
    <row r="143" spans="3:5" x14ac:dyDescent="0.45">
      <c r="C143" s="31"/>
      <c r="D143" s="31"/>
      <c r="E143" s="31"/>
    </row>
    <row r="144" spans="3:5" x14ac:dyDescent="0.45">
      <c r="C144" s="31"/>
      <c r="D144" s="31"/>
      <c r="E144" s="31"/>
    </row>
    <row r="145" spans="3:5" x14ac:dyDescent="0.45">
      <c r="C145" s="31"/>
      <c r="D145" s="31"/>
      <c r="E145" s="31"/>
    </row>
    <row r="146" spans="3:5" x14ac:dyDescent="0.45">
      <c r="C146" s="31"/>
      <c r="D146" s="31"/>
      <c r="E146" s="31"/>
    </row>
    <row r="147" spans="3:5" x14ac:dyDescent="0.45">
      <c r="C147" s="31"/>
      <c r="D147" s="31"/>
      <c r="E147" s="31"/>
    </row>
    <row r="148" spans="3:5" x14ac:dyDescent="0.45">
      <c r="C148" s="31"/>
      <c r="D148" s="31"/>
      <c r="E148" s="31"/>
    </row>
    <row r="149" spans="3:5" x14ac:dyDescent="0.45">
      <c r="C149" s="31"/>
      <c r="D149" s="31"/>
      <c r="E149" s="31"/>
    </row>
    <row r="150" spans="3:5" x14ac:dyDescent="0.45">
      <c r="C150" s="31"/>
      <c r="D150" s="31"/>
      <c r="E150" s="31"/>
    </row>
    <row r="151" spans="3:5" x14ac:dyDescent="0.45">
      <c r="C151" s="31"/>
      <c r="D151" s="31"/>
      <c r="E151" s="31"/>
    </row>
    <row r="152" spans="3:5" x14ac:dyDescent="0.45">
      <c r="C152" s="31"/>
      <c r="D152" s="31"/>
      <c r="E152" s="31"/>
    </row>
    <row r="153" spans="3:5" x14ac:dyDescent="0.45">
      <c r="C153" s="31"/>
      <c r="D153" s="31"/>
      <c r="E153" s="31"/>
    </row>
    <row r="154" spans="3:5" x14ac:dyDescent="0.45">
      <c r="C154" s="31"/>
      <c r="D154" s="31"/>
      <c r="E154" s="31"/>
    </row>
    <row r="155" spans="3:5" x14ac:dyDescent="0.45">
      <c r="C155" s="31"/>
      <c r="D155" s="31"/>
      <c r="E155" s="31"/>
    </row>
    <row r="156" spans="3:5" x14ac:dyDescent="0.45">
      <c r="C156" s="31"/>
      <c r="D156" s="31"/>
      <c r="E156" s="31"/>
    </row>
    <row r="157" spans="3:5" x14ac:dyDescent="0.45">
      <c r="C157" s="31"/>
      <c r="D157" s="31"/>
      <c r="E157" s="31"/>
    </row>
    <row r="158" spans="3:5" x14ac:dyDescent="0.45">
      <c r="C158" s="31"/>
      <c r="D158" s="31"/>
      <c r="E158" s="31"/>
    </row>
    <row r="159" spans="3:5" x14ac:dyDescent="0.45">
      <c r="C159" s="31"/>
      <c r="D159" s="31"/>
      <c r="E159" s="31"/>
    </row>
    <row r="160" spans="3:5" x14ac:dyDescent="0.45">
      <c r="C160" s="31"/>
      <c r="D160" s="31"/>
      <c r="E160" s="31"/>
    </row>
    <row r="161" spans="3:5" x14ac:dyDescent="0.45">
      <c r="C161" s="31"/>
      <c r="D161" s="31"/>
      <c r="E161" s="31"/>
    </row>
    <row r="162" spans="3:5" x14ac:dyDescent="0.45">
      <c r="C162" s="31"/>
      <c r="D162" s="31"/>
      <c r="E162" s="31"/>
    </row>
    <row r="163" spans="3:5" x14ac:dyDescent="0.45">
      <c r="C163" s="31"/>
      <c r="D163" s="31"/>
      <c r="E163" s="31"/>
    </row>
    <row r="164" spans="3:5" x14ac:dyDescent="0.45">
      <c r="C164" s="31"/>
      <c r="D164" s="31"/>
      <c r="E164" s="31"/>
    </row>
    <row r="165" spans="3:5" x14ac:dyDescent="0.45">
      <c r="C165" s="31"/>
      <c r="D165" s="31"/>
      <c r="E165" s="31"/>
    </row>
    <row r="166" spans="3:5" x14ac:dyDescent="0.45">
      <c r="C166" s="31"/>
      <c r="D166" s="31"/>
      <c r="E166" s="31"/>
    </row>
    <row r="167" spans="3:5" x14ac:dyDescent="0.45">
      <c r="C167" s="31"/>
      <c r="D167" s="31"/>
      <c r="E167" s="31"/>
    </row>
    <row r="168" spans="3:5" x14ac:dyDescent="0.45">
      <c r="C168" s="31"/>
      <c r="D168" s="31"/>
      <c r="E168" s="31"/>
    </row>
    <row r="169" spans="3:5" x14ac:dyDescent="0.45">
      <c r="C169" s="31"/>
      <c r="D169" s="31"/>
      <c r="E169" s="31"/>
    </row>
    <row r="170" spans="3:5" x14ac:dyDescent="0.45">
      <c r="C170" s="31"/>
      <c r="D170" s="31"/>
      <c r="E170" s="31"/>
    </row>
    <row r="171" spans="3:5" x14ac:dyDescent="0.45">
      <c r="C171" s="31"/>
      <c r="D171" s="31"/>
      <c r="E171" s="31"/>
    </row>
    <row r="172" spans="3:5" x14ac:dyDescent="0.45">
      <c r="C172" s="31"/>
      <c r="D172" s="31"/>
      <c r="E172" s="31"/>
    </row>
    <row r="173" spans="3:5" x14ac:dyDescent="0.45">
      <c r="C173" s="31"/>
      <c r="D173" s="31"/>
      <c r="E173" s="31"/>
    </row>
    <row r="174" spans="3:5" x14ac:dyDescent="0.45">
      <c r="C174" s="31"/>
      <c r="D174" s="31"/>
      <c r="E174" s="31"/>
    </row>
    <row r="175" spans="3:5" x14ac:dyDescent="0.45">
      <c r="C175" s="31"/>
      <c r="D175" s="31"/>
      <c r="E175" s="31"/>
    </row>
    <row r="176" spans="3:5" x14ac:dyDescent="0.45">
      <c r="C176" s="31"/>
      <c r="D176" s="31"/>
      <c r="E176" s="31"/>
    </row>
    <row r="177" spans="3:5" x14ac:dyDescent="0.45">
      <c r="C177" s="31"/>
      <c r="D177" s="31"/>
      <c r="E177" s="31"/>
    </row>
    <row r="178" spans="3:5" x14ac:dyDescent="0.45">
      <c r="C178" s="31"/>
      <c r="D178" s="31"/>
      <c r="E178" s="31"/>
    </row>
    <row r="179" spans="3:5" x14ac:dyDescent="0.45">
      <c r="C179" s="31"/>
      <c r="D179" s="31"/>
      <c r="E179" s="31"/>
    </row>
    <row r="180" spans="3:5" x14ac:dyDescent="0.45">
      <c r="C180" s="31"/>
      <c r="D180" s="31"/>
      <c r="E180" s="31"/>
    </row>
    <row r="181" spans="3:5" x14ac:dyDescent="0.45">
      <c r="C181" s="31"/>
      <c r="D181" s="31"/>
      <c r="E181" s="31"/>
    </row>
    <row r="182" spans="3:5" x14ac:dyDescent="0.45">
      <c r="C182" s="31"/>
      <c r="D182" s="31"/>
      <c r="E182" s="31"/>
    </row>
    <row r="183" spans="3:5" x14ac:dyDescent="0.45">
      <c r="C183" s="31"/>
      <c r="D183" s="31"/>
      <c r="E183" s="31"/>
    </row>
    <row r="184" spans="3:5" x14ac:dyDescent="0.45">
      <c r="C184" s="31"/>
      <c r="D184" s="31"/>
      <c r="E184" s="31"/>
    </row>
    <row r="185" spans="3:5" x14ac:dyDescent="0.45">
      <c r="C185" s="31"/>
      <c r="D185" s="31"/>
      <c r="E185" s="31"/>
    </row>
    <row r="186" spans="3:5" x14ac:dyDescent="0.45">
      <c r="C186" s="31"/>
      <c r="D186" s="31"/>
      <c r="E186" s="31"/>
    </row>
    <row r="187" spans="3:5" x14ac:dyDescent="0.45">
      <c r="C187" s="31"/>
      <c r="D187" s="31"/>
      <c r="E187" s="31"/>
    </row>
    <row r="188" spans="3:5" x14ac:dyDescent="0.45">
      <c r="C188" s="31"/>
      <c r="D188" s="31"/>
      <c r="E188" s="31"/>
    </row>
    <row r="189" spans="3:5" x14ac:dyDescent="0.45">
      <c r="C189" s="31"/>
      <c r="D189" s="31"/>
      <c r="E189" s="31"/>
    </row>
    <row r="190" spans="3:5" x14ac:dyDescent="0.45">
      <c r="C190" s="31"/>
      <c r="D190" s="31"/>
      <c r="E190" s="31"/>
    </row>
    <row r="191" spans="3:5" x14ac:dyDescent="0.45">
      <c r="C191" s="31"/>
      <c r="D191" s="31"/>
      <c r="E191" s="31"/>
    </row>
    <row r="192" spans="3:5" x14ac:dyDescent="0.45">
      <c r="C192" s="31"/>
      <c r="D192" s="31"/>
      <c r="E192" s="31"/>
    </row>
    <row r="193" spans="3:5" x14ac:dyDescent="0.45">
      <c r="C193" s="31"/>
      <c r="D193" s="31"/>
      <c r="E193" s="31"/>
    </row>
    <row r="194" spans="3:5" x14ac:dyDescent="0.45">
      <c r="C194" s="31"/>
      <c r="D194" s="31"/>
      <c r="E194" s="31"/>
    </row>
    <row r="195" spans="3:5" x14ac:dyDescent="0.45">
      <c r="C195" s="31"/>
      <c r="D195" s="31"/>
      <c r="E195" s="31"/>
    </row>
    <row r="196" spans="3:5" x14ac:dyDescent="0.45">
      <c r="C196" s="31"/>
      <c r="D196" s="31"/>
      <c r="E196" s="31"/>
    </row>
    <row r="197" spans="3:5" x14ac:dyDescent="0.45">
      <c r="C197" s="31"/>
      <c r="D197" s="31"/>
      <c r="E197" s="31"/>
    </row>
    <row r="198" spans="3:5" x14ac:dyDescent="0.45">
      <c r="C198" s="31"/>
      <c r="D198" s="31"/>
      <c r="E198" s="31"/>
    </row>
    <row r="199" spans="3:5" x14ac:dyDescent="0.45">
      <c r="C199" s="31"/>
      <c r="D199" s="31"/>
      <c r="E199" s="31"/>
    </row>
    <row r="200" spans="3:5" x14ac:dyDescent="0.45">
      <c r="C200" s="31"/>
      <c r="D200" s="31"/>
      <c r="E200" s="31"/>
    </row>
    <row r="201" spans="3:5" x14ac:dyDescent="0.45">
      <c r="C201" s="31"/>
      <c r="D201" s="31"/>
      <c r="E201" s="31"/>
    </row>
    <row r="202" spans="3:5" x14ac:dyDescent="0.45">
      <c r="C202" s="31"/>
      <c r="D202" s="31"/>
      <c r="E202" s="31"/>
    </row>
    <row r="203" spans="3:5" x14ac:dyDescent="0.45">
      <c r="C203" s="31"/>
      <c r="D203" s="31"/>
      <c r="E203" s="31"/>
    </row>
    <row r="204" spans="3:5" x14ac:dyDescent="0.45">
      <c r="C204" s="31"/>
      <c r="D204" s="31"/>
      <c r="E204" s="31"/>
    </row>
    <row r="205" spans="3:5" x14ac:dyDescent="0.45">
      <c r="C205" s="31"/>
      <c r="D205" s="31"/>
      <c r="E205" s="31"/>
    </row>
    <row r="206" spans="3:5" x14ac:dyDescent="0.45">
      <c r="C206" s="31"/>
      <c r="D206" s="31"/>
      <c r="E206" s="31"/>
    </row>
    <row r="207" spans="3:5" x14ac:dyDescent="0.45">
      <c r="C207" s="31"/>
      <c r="D207" s="31"/>
      <c r="E207" s="31"/>
    </row>
    <row r="208" spans="3:5" x14ac:dyDescent="0.45">
      <c r="C208" s="31"/>
      <c r="D208" s="31"/>
      <c r="E208" s="31"/>
    </row>
    <row r="209" spans="3:5" x14ac:dyDescent="0.45">
      <c r="C209" s="31"/>
      <c r="D209" s="31"/>
      <c r="E209" s="31"/>
    </row>
    <row r="210" spans="3:5" x14ac:dyDescent="0.45">
      <c r="C210" s="31"/>
      <c r="D210" s="31"/>
      <c r="E210" s="31"/>
    </row>
    <row r="211" spans="3:5" x14ac:dyDescent="0.45">
      <c r="C211" s="31"/>
      <c r="D211" s="31"/>
      <c r="E211" s="31"/>
    </row>
    <row r="212" spans="3:5" x14ac:dyDescent="0.45">
      <c r="C212" s="31"/>
      <c r="D212" s="31"/>
      <c r="E212" s="31"/>
    </row>
    <row r="213" spans="3:5" x14ac:dyDescent="0.45">
      <c r="C213" s="31"/>
      <c r="D213" s="31"/>
      <c r="E213" s="31"/>
    </row>
    <row r="214" spans="3:5" x14ac:dyDescent="0.45">
      <c r="C214" s="31"/>
      <c r="D214" s="31"/>
      <c r="E214" s="31"/>
    </row>
    <row r="215" spans="3:5" x14ac:dyDescent="0.45">
      <c r="C215" s="31"/>
      <c r="D215" s="31"/>
      <c r="E215" s="31"/>
    </row>
    <row r="216" spans="3:5" x14ac:dyDescent="0.45">
      <c r="C216" s="31"/>
      <c r="D216" s="31"/>
      <c r="E216" s="31"/>
    </row>
    <row r="217" spans="3:5" x14ac:dyDescent="0.45">
      <c r="C217" s="31"/>
      <c r="D217" s="31"/>
      <c r="E217" s="31"/>
    </row>
    <row r="218" spans="3:5" x14ac:dyDescent="0.45">
      <c r="C218" s="31"/>
      <c r="D218" s="31"/>
      <c r="E218" s="31"/>
    </row>
    <row r="219" spans="3:5" x14ac:dyDescent="0.45">
      <c r="C219" s="31"/>
      <c r="D219" s="31"/>
      <c r="E219" s="31"/>
    </row>
    <row r="220" spans="3:5" x14ac:dyDescent="0.45">
      <c r="C220" s="31"/>
      <c r="D220" s="31"/>
      <c r="E220" s="31"/>
    </row>
    <row r="221" spans="3:5" x14ac:dyDescent="0.45">
      <c r="C221" s="31"/>
      <c r="D221" s="31"/>
      <c r="E221" s="31"/>
    </row>
    <row r="222" spans="3:5" x14ac:dyDescent="0.45">
      <c r="C222" s="31"/>
      <c r="D222" s="31"/>
      <c r="E222" s="31"/>
    </row>
    <row r="223" spans="3:5" x14ac:dyDescent="0.45">
      <c r="C223" s="31"/>
      <c r="D223" s="31"/>
      <c r="E223" s="31"/>
    </row>
    <row r="224" spans="3:5" x14ac:dyDescent="0.45">
      <c r="C224" s="31"/>
      <c r="D224" s="31"/>
      <c r="E224" s="31"/>
    </row>
    <row r="225" spans="3:5" x14ac:dyDescent="0.45">
      <c r="C225" s="31"/>
      <c r="D225" s="31"/>
      <c r="E225" s="31"/>
    </row>
    <row r="226" spans="3:5" x14ac:dyDescent="0.45">
      <c r="C226" s="31"/>
      <c r="D226" s="31"/>
      <c r="E226" s="31"/>
    </row>
    <row r="227" spans="3:5" x14ac:dyDescent="0.45">
      <c r="C227" s="31"/>
      <c r="D227" s="31"/>
      <c r="E227" s="31"/>
    </row>
    <row r="228" spans="3:5" x14ac:dyDescent="0.45">
      <c r="C228" s="31"/>
      <c r="D228" s="31"/>
      <c r="E228" s="31"/>
    </row>
    <row r="229" spans="3:5" x14ac:dyDescent="0.45">
      <c r="C229" s="31"/>
      <c r="D229" s="31"/>
      <c r="E229" s="31"/>
    </row>
    <row r="230" spans="3:5" x14ac:dyDescent="0.45">
      <c r="C230" s="31"/>
      <c r="D230" s="31"/>
      <c r="E230" s="31"/>
    </row>
    <row r="231" spans="3:5" x14ac:dyDescent="0.45">
      <c r="C231" s="31"/>
      <c r="D231" s="31"/>
      <c r="E231" s="31"/>
    </row>
    <row r="232" spans="3:5" x14ac:dyDescent="0.45">
      <c r="C232" s="31"/>
      <c r="D232" s="31"/>
      <c r="E232" s="31"/>
    </row>
    <row r="233" spans="3:5" x14ac:dyDescent="0.45">
      <c r="C233" s="31"/>
      <c r="D233" s="31"/>
      <c r="E233" s="31"/>
    </row>
    <row r="234" spans="3:5" x14ac:dyDescent="0.45">
      <c r="C234" s="31"/>
      <c r="D234" s="31"/>
      <c r="E234" s="31"/>
    </row>
    <row r="235" spans="3:5" x14ac:dyDescent="0.45">
      <c r="C235" s="31"/>
      <c r="D235" s="31"/>
      <c r="E235" s="31"/>
    </row>
    <row r="236" spans="3:5" x14ac:dyDescent="0.45">
      <c r="C236" s="31"/>
      <c r="D236" s="31"/>
      <c r="E236" s="31"/>
    </row>
    <row r="237" spans="3:5" x14ac:dyDescent="0.45">
      <c r="C237" s="31"/>
      <c r="D237" s="31"/>
      <c r="E237" s="31"/>
    </row>
    <row r="238" spans="3:5" x14ac:dyDescent="0.45">
      <c r="C238" s="31"/>
      <c r="D238" s="31"/>
      <c r="E238" s="31"/>
    </row>
    <row r="239" spans="3:5" x14ac:dyDescent="0.45">
      <c r="C239" s="31"/>
      <c r="D239" s="31"/>
      <c r="E239" s="31"/>
    </row>
    <row r="240" spans="3:5" x14ac:dyDescent="0.45">
      <c r="C240" s="31"/>
      <c r="D240" s="31"/>
      <c r="E240" s="31"/>
    </row>
    <row r="241" spans="3:5" x14ac:dyDescent="0.45">
      <c r="C241" s="31"/>
      <c r="D241" s="31"/>
      <c r="E241" s="31"/>
    </row>
    <row r="242" spans="3:5" x14ac:dyDescent="0.45">
      <c r="C242" s="31"/>
      <c r="D242" s="31"/>
      <c r="E242" s="31"/>
    </row>
    <row r="243" spans="3:5" x14ac:dyDescent="0.45">
      <c r="C243" s="31"/>
      <c r="D243" s="31"/>
      <c r="E243" s="31"/>
    </row>
    <row r="244" spans="3:5" x14ac:dyDescent="0.45">
      <c r="C244" s="31"/>
      <c r="D244" s="31"/>
      <c r="E244" s="31"/>
    </row>
    <row r="245" spans="3:5" x14ac:dyDescent="0.45">
      <c r="C245" s="31"/>
      <c r="D245" s="31"/>
      <c r="E245" s="31"/>
    </row>
    <row r="246" spans="3:5" x14ac:dyDescent="0.45">
      <c r="C246" s="31"/>
      <c r="D246" s="31"/>
      <c r="E246" s="31"/>
    </row>
    <row r="247" spans="3:5" x14ac:dyDescent="0.45">
      <c r="C247" s="31"/>
      <c r="D247" s="31"/>
      <c r="E247" s="31"/>
    </row>
    <row r="248" spans="3:5" x14ac:dyDescent="0.45">
      <c r="C248" s="31"/>
      <c r="D248" s="31"/>
      <c r="E248" s="31"/>
    </row>
    <row r="249" spans="3:5" x14ac:dyDescent="0.45">
      <c r="C249" s="31"/>
      <c r="D249" s="31"/>
      <c r="E249" s="31"/>
    </row>
    <row r="250" spans="3:5" x14ac:dyDescent="0.45">
      <c r="C250" s="31"/>
      <c r="D250" s="31"/>
      <c r="E250" s="31"/>
    </row>
    <row r="251" spans="3:5" x14ac:dyDescent="0.45">
      <c r="C251" s="31"/>
      <c r="D251" s="31"/>
      <c r="E251" s="31"/>
    </row>
    <row r="252" spans="3:5" x14ac:dyDescent="0.45">
      <c r="C252" s="31"/>
      <c r="D252" s="31"/>
      <c r="E252" s="31"/>
    </row>
    <row r="253" spans="3:5" x14ac:dyDescent="0.45">
      <c r="C253" s="31"/>
      <c r="D253" s="31"/>
      <c r="E253" s="31"/>
    </row>
    <row r="254" spans="3:5" x14ac:dyDescent="0.45">
      <c r="C254" s="31"/>
      <c r="D254" s="31"/>
      <c r="E254" s="31"/>
    </row>
    <row r="255" spans="3:5" x14ac:dyDescent="0.45">
      <c r="C255" s="31"/>
      <c r="D255" s="31"/>
      <c r="E255" s="31"/>
    </row>
    <row r="256" spans="3:5" x14ac:dyDescent="0.45">
      <c r="C256" s="31"/>
      <c r="D256" s="31"/>
      <c r="E256" s="31"/>
    </row>
    <row r="257" spans="3:5" x14ac:dyDescent="0.45">
      <c r="C257" s="31"/>
      <c r="D257" s="31"/>
      <c r="E257" s="31"/>
    </row>
    <row r="258" spans="3:5" x14ac:dyDescent="0.45">
      <c r="C258" s="31"/>
      <c r="D258" s="31"/>
      <c r="E258" s="31"/>
    </row>
    <row r="259" spans="3:5" x14ac:dyDescent="0.45">
      <c r="C259" s="31"/>
      <c r="D259" s="31"/>
      <c r="E259" s="31"/>
    </row>
    <row r="260" spans="3:5" x14ac:dyDescent="0.45">
      <c r="C260" s="31"/>
      <c r="D260" s="31"/>
      <c r="E260" s="31"/>
    </row>
    <row r="261" spans="3:5" x14ac:dyDescent="0.45">
      <c r="C261" s="31"/>
      <c r="D261" s="31"/>
      <c r="E261" s="31"/>
    </row>
    <row r="262" spans="3:5" x14ac:dyDescent="0.45">
      <c r="C262" s="31"/>
      <c r="D262" s="31"/>
      <c r="E262" s="31"/>
    </row>
    <row r="263" spans="3:5" x14ac:dyDescent="0.45">
      <c r="C263" s="31"/>
      <c r="D263" s="31"/>
      <c r="E263" s="31"/>
    </row>
    <row r="264" spans="3:5" x14ac:dyDescent="0.45">
      <c r="C264" s="31"/>
    </row>
    <row r="265" spans="3:5" x14ac:dyDescent="0.45">
      <c r="C265" s="31"/>
    </row>
    <row r="266" spans="3:5" x14ac:dyDescent="0.45">
      <c r="C266" s="31"/>
    </row>
    <row r="267" spans="3:5" x14ac:dyDescent="0.45">
      <c r="C267" s="31"/>
    </row>
    <row r="268" spans="3:5" x14ac:dyDescent="0.45">
      <c r="C268" s="31"/>
    </row>
    <row r="269" spans="3:5" x14ac:dyDescent="0.45">
      <c r="C269" s="31"/>
    </row>
    <row r="270" spans="3:5" x14ac:dyDescent="0.45">
      <c r="C270" s="31"/>
    </row>
    <row r="271" spans="3:5" x14ac:dyDescent="0.45">
      <c r="C271" s="31"/>
    </row>
    <row r="272" spans="3:5" x14ac:dyDescent="0.45">
      <c r="C272" s="31"/>
    </row>
    <row r="273" spans="3:3" x14ac:dyDescent="0.45">
      <c r="C273" s="31"/>
    </row>
    <row r="274" spans="3:3" x14ac:dyDescent="0.45">
      <c r="C274" s="31"/>
    </row>
    <row r="275" spans="3:3" x14ac:dyDescent="0.45">
      <c r="C275" s="31"/>
    </row>
    <row r="276" spans="3:3" x14ac:dyDescent="0.45">
      <c r="C276" s="31"/>
    </row>
    <row r="277" spans="3:3" x14ac:dyDescent="0.45">
      <c r="C277" s="31"/>
    </row>
    <row r="278" spans="3:3" x14ac:dyDescent="0.45">
      <c r="C278" s="31"/>
    </row>
    <row r="279" spans="3:3" x14ac:dyDescent="0.45">
      <c r="C279" s="31"/>
    </row>
    <row r="280" spans="3:3" x14ac:dyDescent="0.45">
      <c r="C280" s="31"/>
    </row>
    <row r="281" spans="3:3" x14ac:dyDescent="0.45">
      <c r="C281" s="31"/>
    </row>
    <row r="282" spans="3:3" x14ac:dyDescent="0.45">
      <c r="C282" s="31"/>
    </row>
    <row r="283" spans="3:3" x14ac:dyDescent="0.45">
      <c r="C283" s="31"/>
    </row>
    <row r="284" spans="3:3" x14ac:dyDescent="0.45">
      <c r="C284" s="31"/>
    </row>
    <row r="285" spans="3:3" x14ac:dyDescent="0.45">
      <c r="C285" s="31"/>
    </row>
    <row r="286" spans="3:3" x14ac:dyDescent="0.45">
      <c r="C286" s="31"/>
    </row>
    <row r="287" spans="3:3" x14ac:dyDescent="0.45">
      <c r="C287" s="31"/>
    </row>
    <row r="288" spans="3:3" x14ac:dyDescent="0.45">
      <c r="C288" s="31"/>
    </row>
    <row r="289" spans="3:3" x14ac:dyDescent="0.45">
      <c r="C289" s="31"/>
    </row>
    <row r="290" spans="3:3" x14ac:dyDescent="0.45">
      <c r="C290" s="31"/>
    </row>
    <row r="291" spans="3:3" x14ac:dyDescent="0.45">
      <c r="C291" s="31"/>
    </row>
    <row r="292" spans="3:3" x14ac:dyDescent="0.45">
      <c r="C292" s="31"/>
    </row>
    <row r="293" spans="3:3" x14ac:dyDescent="0.45">
      <c r="C293" s="31"/>
    </row>
    <row r="294" spans="3:3" x14ac:dyDescent="0.45">
      <c r="C294" s="31"/>
    </row>
    <row r="295" spans="3:3" x14ac:dyDescent="0.45">
      <c r="C295" s="31"/>
    </row>
    <row r="296" spans="3:3" x14ac:dyDescent="0.45">
      <c r="C296" s="31"/>
    </row>
    <row r="297" spans="3:3" x14ac:dyDescent="0.45">
      <c r="C297" s="31"/>
    </row>
    <row r="298" spans="3:3" x14ac:dyDescent="0.45">
      <c r="C298" s="31"/>
    </row>
    <row r="299" spans="3:3" x14ac:dyDescent="0.45">
      <c r="C299" s="31"/>
    </row>
    <row r="300" spans="3:3" x14ac:dyDescent="0.45">
      <c r="C300" s="31"/>
    </row>
    <row r="301" spans="3:3" x14ac:dyDescent="0.45">
      <c r="C301" s="31"/>
    </row>
    <row r="302" spans="3:3" x14ac:dyDescent="0.45">
      <c r="C302" s="31"/>
    </row>
    <row r="303" spans="3:3" x14ac:dyDescent="0.45">
      <c r="C303" s="31"/>
    </row>
    <row r="304" spans="3:3" x14ac:dyDescent="0.45">
      <c r="C304" s="31"/>
    </row>
    <row r="305" spans="3:3" x14ac:dyDescent="0.45">
      <c r="C305" s="31"/>
    </row>
    <row r="306" spans="3:3" x14ac:dyDescent="0.45">
      <c r="C306" s="31"/>
    </row>
    <row r="307" spans="3:3" x14ac:dyDescent="0.45">
      <c r="C307" s="31"/>
    </row>
    <row r="308" spans="3:3" x14ac:dyDescent="0.45">
      <c r="C308" s="31"/>
    </row>
    <row r="309" spans="3:3" x14ac:dyDescent="0.45">
      <c r="C309" s="31"/>
    </row>
    <row r="310" spans="3:3" x14ac:dyDescent="0.45">
      <c r="C310" s="31"/>
    </row>
    <row r="311" spans="3:3" x14ac:dyDescent="0.45">
      <c r="C311" s="31"/>
    </row>
    <row r="312" spans="3:3" x14ac:dyDescent="0.45">
      <c r="C312" s="31"/>
    </row>
    <row r="313" spans="3:3" x14ac:dyDescent="0.45">
      <c r="C313" s="31"/>
    </row>
    <row r="314" spans="3:3" x14ac:dyDescent="0.45">
      <c r="C314" s="31"/>
    </row>
    <row r="315" spans="3:3" x14ac:dyDescent="0.45">
      <c r="C315" s="31"/>
    </row>
    <row r="316" spans="3:3" x14ac:dyDescent="0.45">
      <c r="C316" s="31"/>
    </row>
    <row r="317" spans="3:3" x14ac:dyDescent="0.45">
      <c r="C317" s="31"/>
    </row>
    <row r="318" spans="3:3" x14ac:dyDescent="0.45">
      <c r="C318" s="31"/>
    </row>
    <row r="319" spans="3:3" x14ac:dyDescent="0.45">
      <c r="C319" s="31"/>
    </row>
    <row r="320" spans="3:3" x14ac:dyDescent="0.45">
      <c r="C320" s="31"/>
    </row>
    <row r="321" spans="3:3" x14ac:dyDescent="0.45">
      <c r="C321" s="31"/>
    </row>
    <row r="322" spans="3:3" x14ac:dyDescent="0.45">
      <c r="C322" s="31"/>
    </row>
    <row r="323" spans="3:3" x14ac:dyDescent="0.45">
      <c r="C323" s="31"/>
    </row>
    <row r="324" spans="3:3" x14ac:dyDescent="0.45">
      <c r="C324" s="31"/>
    </row>
    <row r="325" spans="3:3" x14ac:dyDescent="0.45">
      <c r="C325" s="31"/>
    </row>
    <row r="326" spans="3:3" x14ac:dyDescent="0.45">
      <c r="C326" s="31"/>
    </row>
    <row r="327" spans="3:3" x14ac:dyDescent="0.45">
      <c r="C327" s="31"/>
    </row>
    <row r="328" spans="3:3" x14ac:dyDescent="0.45">
      <c r="C328" s="31"/>
    </row>
    <row r="329" spans="3:3" x14ac:dyDescent="0.45">
      <c r="C329" s="31"/>
    </row>
    <row r="330" spans="3:3" x14ac:dyDescent="0.45">
      <c r="C330" s="31"/>
    </row>
    <row r="331" spans="3:3" x14ac:dyDescent="0.45">
      <c r="C331" s="31"/>
    </row>
    <row r="332" spans="3:3" x14ac:dyDescent="0.45">
      <c r="C332" s="31"/>
    </row>
    <row r="333" spans="3:3" x14ac:dyDescent="0.45">
      <c r="C333" s="31"/>
    </row>
    <row r="334" spans="3:3" x14ac:dyDescent="0.45">
      <c r="C334" s="31"/>
    </row>
    <row r="335" spans="3:3" x14ac:dyDescent="0.45">
      <c r="C335" s="31"/>
    </row>
    <row r="336" spans="3:3" x14ac:dyDescent="0.45">
      <c r="C336" s="31"/>
    </row>
    <row r="337" spans="3:3" x14ac:dyDescent="0.45">
      <c r="C337" s="31"/>
    </row>
    <row r="338" spans="3:3" x14ac:dyDescent="0.45">
      <c r="C338" s="31"/>
    </row>
    <row r="339" spans="3:3" x14ac:dyDescent="0.45">
      <c r="C339" s="31"/>
    </row>
    <row r="340" spans="3:3" x14ac:dyDescent="0.45">
      <c r="C340" s="31"/>
    </row>
    <row r="341" spans="3:3" x14ac:dyDescent="0.45">
      <c r="C341" s="31"/>
    </row>
    <row r="342" spans="3:3" x14ac:dyDescent="0.45">
      <c r="C342" s="31"/>
    </row>
    <row r="343" spans="3:3" x14ac:dyDescent="0.45">
      <c r="C343" s="31"/>
    </row>
    <row r="344" spans="3:3" x14ac:dyDescent="0.45">
      <c r="C344" s="31"/>
    </row>
    <row r="345" spans="3:3" x14ac:dyDescent="0.45">
      <c r="C345" s="31"/>
    </row>
    <row r="346" spans="3:3" x14ac:dyDescent="0.45">
      <c r="C346" s="31"/>
    </row>
    <row r="347" spans="3:3" x14ac:dyDescent="0.45">
      <c r="C347" s="31"/>
    </row>
    <row r="348" spans="3:3" x14ac:dyDescent="0.45">
      <c r="C348" s="31"/>
    </row>
    <row r="349" spans="3:3" x14ac:dyDescent="0.45">
      <c r="C349" s="31"/>
    </row>
    <row r="350" spans="3:3" x14ac:dyDescent="0.45">
      <c r="C350" s="31"/>
    </row>
    <row r="351" spans="3:3" x14ac:dyDescent="0.45">
      <c r="C351" s="31"/>
    </row>
    <row r="352" spans="3:3" x14ac:dyDescent="0.45">
      <c r="C352" s="31"/>
    </row>
    <row r="353" spans="3:3" x14ac:dyDescent="0.45">
      <c r="C353" s="31"/>
    </row>
    <row r="354" spans="3:3" x14ac:dyDescent="0.45">
      <c r="C354" s="31"/>
    </row>
    <row r="355" spans="3:3" x14ac:dyDescent="0.45">
      <c r="C355" s="31"/>
    </row>
    <row r="356" spans="3:3" x14ac:dyDescent="0.45">
      <c r="C356" s="31"/>
    </row>
    <row r="357" spans="3:3" x14ac:dyDescent="0.45">
      <c r="C357" s="31"/>
    </row>
    <row r="358" spans="3:3" x14ac:dyDescent="0.45">
      <c r="C358" s="31"/>
    </row>
    <row r="359" spans="3:3" x14ac:dyDescent="0.45">
      <c r="C359" s="31"/>
    </row>
    <row r="360" spans="3:3" x14ac:dyDescent="0.45">
      <c r="C360" s="31"/>
    </row>
    <row r="361" spans="3:3" x14ac:dyDescent="0.45">
      <c r="C361" s="31"/>
    </row>
    <row r="362" spans="3:3" x14ac:dyDescent="0.45">
      <c r="C362" s="31"/>
    </row>
    <row r="363" spans="3:3" x14ac:dyDescent="0.45">
      <c r="C363" s="31"/>
    </row>
    <row r="364" spans="3:3" x14ac:dyDescent="0.45">
      <c r="C364" s="31"/>
    </row>
    <row r="365" spans="3:3" x14ac:dyDescent="0.45">
      <c r="C365" s="31"/>
    </row>
    <row r="366" spans="3:3" x14ac:dyDescent="0.45">
      <c r="C366" s="31"/>
    </row>
    <row r="367" spans="3:3" x14ac:dyDescent="0.45">
      <c r="C367" s="31"/>
    </row>
    <row r="368" spans="3:3" x14ac:dyDescent="0.45">
      <c r="C368" s="31"/>
    </row>
    <row r="369" spans="3:3" x14ac:dyDescent="0.45">
      <c r="C369" s="31"/>
    </row>
    <row r="370" spans="3:3" x14ac:dyDescent="0.45">
      <c r="C370" s="31"/>
    </row>
    <row r="371" spans="3:3" x14ac:dyDescent="0.45">
      <c r="C371" s="31"/>
    </row>
    <row r="372" spans="3:3" x14ac:dyDescent="0.45">
      <c r="C372" s="31"/>
    </row>
    <row r="373" spans="3:3" x14ac:dyDescent="0.45">
      <c r="C373" s="31"/>
    </row>
    <row r="374" spans="3:3" x14ac:dyDescent="0.45">
      <c r="C374" s="31"/>
    </row>
    <row r="375" spans="3:3" x14ac:dyDescent="0.45">
      <c r="C375" s="31"/>
    </row>
    <row r="376" spans="3:3" x14ac:dyDescent="0.45">
      <c r="C376" s="31"/>
    </row>
    <row r="377" spans="3:3" x14ac:dyDescent="0.45">
      <c r="C377" s="31"/>
    </row>
    <row r="378" spans="3:3" x14ac:dyDescent="0.45">
      <c r="C378" s="31"/>
    </row>
    <row r="379" spans="3:3" x14ac:dyDescent="0.45">
      <c r="C379" s="31"/>
    </row>
    <row r="380" spans="3:3" x14ac:dyDescent="0.45">
      <c r="C380" s="31"/>
    </row>
    <row r="381" spans="3:3" x14ac:dyDescent="0.45">
      <c r="C381" s="31"/>
    </row>
    <row r="382" spans="3:3" x14ac:dyDescent="0.45">
      <c r="C382" s="31"/>
    </row>
    <row r="383" spans="3:3" x14ac:dyDescent="0.45">
      <c r="C383" s="31"/>
    </row>
    <row r="384" spans="3:3" x14ac:dyDescent="0.45">
      <c r="C384" s="31"/>
    </row>
    <row r="385" spans="3:3" x14ac:dyDescent="0.45">
      <c r="C385" s="31"/>
    </row>
    <row r="386" spans="3:3" x14ac:dyDescent="0.45">
      <c r="C386" s="31"/>
    </row>
    <row r="387" spans="3:3" x14ac:dyDescent="0.45">
      <c r="C387" s="31"/>
    </row>
    <row r="388" spans="3:3" x14ac:dyDescent="0.45">
      <c r="C388" s="31"/>
    </row>
    <row r="389" spans="3:3" x14ac:dyDescent="0.45">
      <c r="C389" s="31"/>
    </row>
    <row r="390" spans="3:3" x14ac:dyDescent="0.45">
      <c r="C390" s="31"/>
    </row>
    <row r="391" spans="3:3" x14ac:dyDescent="0.45">
      <c r="C391" s="31"/>
    </row>
    <row r="392" spans="3:3" x14ac:dyDescent="0.45">
      <c r="C392" s="31"/>
    </row>
    <row r="393" spans="3:3" x14ac:dyDescent="0.45">
      <c r="C393" s="31"/>
    </row>
    <row r="394" spans="3:3" x14ac:dyDescent="0.45">
      <c r="C394" s="31"/>
    </row>
    <row r="395" spans="3:3" x14ac:dyDescent="0.45">
      <c r="C395" s="31"/>
    </row>
    <row r="396" spans="3:3" x14ac:dyDescent="0.45">
      <c r="C396" s="31"/>
    </row>
    <row r="397" spans="3:3" x14ac:dyDescent="0.45">
      <c r="C397" s="31"/>
    </row>
    <row r="398" spans="3:3" x14ac:dyDescent="0.45">
      <c r="C398" s="31"/>
    </row>
    <row r="399" spans="3:3" x14ac:dyDescent="0.45">
      <c r="C399" s="31"/>
    </row>
    <row r="400" spans="3:3" x14ac:dyDescent="0.45">
      <c r="C400" s="31"/>
    </row>
    <row r="401" spans="3:3" x14ac:dyDescent="0.45">
      <c r="C401" s="31"/>
    </row>
    <row r="402" spans="3:3" x14ac:dyDescent="0.45">
      <c r="C402" s="31"/>
    </row>
    <row r="403" spans="3:3" x14ac:dyDescent="0.45">
      <c r="C403" s="31"/>
    </row>
    <row r="404" spans="3:3" x14ac:dyDescent="0.45">
      <c r="C404" s="31"/>
    </row>
    <row r="405" spans="3:3" x14ac:dyDescent="0.45">
      <c r="C405" s="31"/>
    </row>
    <row r="406" spans="3:3" x14ac:dyDescent="0.45">
      <c r="C406" s="31"/>
    </row>
    <row r="407" spans="3:3" x14ac:dyDescent="0.45">
      <c r="C407" s="31"/>
    </row>
    <row r="408" spans="3:3" x14ac:dyDescent="0.45">
      <c r="C408" s="31"/>
    </row>
    <row r="409" spans="3:3" x14ac:dyDescent="0.45">
      <c r="C409" s="31"/>
    </row>
    <row r="410" spans="3:3" x14ac:dyDescent="0.45">
      <c r="C410" s="31"/>
    </row>
    <row r="411" spans="3:3" x14ac:dyDescent="0.45">
      <c r="C411" s="31"/>
    </row>
    <row r="412" spans="3:3" x14ac:dyDescent="0.45">
      <c r="C412" s="31"/>
    </row>
    <row r="413" spans="3:3" x14ac:dyDescent="0.45">
      <c r="C413" s="31"/>
    </row>
    <row r="414" spans="3:3" x14ac:dyDescent="0.45">
      <c r="C414" s="31"/>
    </row>
    <row r="415" spans="3:3" x14ac:dyDescent="0.45">
      <c r="C415" s="31"/>
    </row>
    <row r="416" spans="3:3" x14ac:dyDescent="0.45">
      <c r="C416" s="31"/>
    </row>
    <row r="417" spans="3:3" x14ac:dyDescent="0.45">
      <c r="C417" s="31"/>
    </row>
    <row r="418" spans="3:3" x14ac:dyDescent="0.45">
      <c r="C418" s="31"/>
    </row>
    <row r="419" spans="3:3" x14ac:dyDescent="0.45">
      <c r="C419" s="31"/>
    </row>
    <row r="420" spans="3:3" x14ac:dyDescent="0.45">
      <c r="C420" s="31"/>
    </row>
    <row r="421" spans="3:3" x14ac:dyDescent="0.45">
      <c r="C421" s="31"/>
    </row>
    <row r="422" spans="3:3" x14ac:dyDescent="0.45">
      <c r="C422" s="31"/>
    </row>
    <row r="423" spans="3:3" x14ac:dyDescent="0.45">
      <c r="C423" s="31"/>
    </row>
    <row r="424" spans="3:3" x14ac:dyDescent="0.45">
      <c r="C424" s="31"/>
    </row>
    <row r="425" spans="3:3" x14ac:dyDescent="0.45">
      <c r="C425" s="31"/>
    </row>
    <row r="426" spans="3:3" x14ac:dyDescent="0.45">
      <c r="C426" s="31"/>
    </row>
    <row r="427" spans="3:3" x14ac:dyDescent="0.45">
      <c r="C427" s="31"/>
    </row>
    <row r="428" spans="3:3" x14ac:dyDescent="0.45">
      <c r="C428" s="31"/>
    </row>
    <row r="429" spans="3:3" x14ac:dyDescent="0.45">
      <c r="C429" s="31"/>
    </row>
    <row r="430" spans="3:3" x14ac:dyDescent="0.45">
      <c r="C430" s="31"/>
    </row>
    <row r="431" spans="3:3" x14ac:dyDescent="0.45">
      <c r="C431" s="31"/>
    </row>
    <row r="432" spans="3:3" x14ac:dyDescent="0.45">
      <c r="C432" s="31"/>
    </row>
    <row r="433" spans="3:3" x14ac:dyDescent="0.45">
      <c r="C433" s="31"/>
    </row>
    <row r="434" spans="3:3" x14ac:dyDescent="0.45">
      <c r="C434" s="31"/>
    </row>
    <row r="435" spans="3:3" x14ac:dyDescent="0.45">
      <c r="C435" s="31"/>
    </row>
    <row r="436" spans="3:3" x14ac:dyDescent="0.45">
      <c r="C436" s="31"/>
    </row>
    <row r="437" spans="3:3" x14ac:dyDescent="0.45">
      <c r="C437" s="31"/>
    </row>
    <row r="438" spans="3:3" x14ac:dyDescent="0.45">
      <c r="C438" s="31"/>
    </row>
    <row r="439" spans="3:3" x14ac:dyDescent="0.45">
      <c r="C439" s="31"/>
    </row>
    <row r="440" spans="3:3" x14ac:dyDescent="0.45">
      <c r="C440" s="31"/>
    </row>
    <row r="441" spans="3:3" x14ac:dyDescent="0.45">
      <c r="C441" s="31"/>
    </row>
    <row r="442" spans="3:3" x14ac:dyDescent="0.45">
      <c r="C442" s="31"/>
    </row>
    <row r="443" spans="3:3" x14ac:dyDescent="0.45">
      <c r="C443" s="31"/>
    </row>
    <row r="444" spans="3:3" x14ac:dyDescent="0.45">
      <c r="C444" s="31"/>
    </row>
    <row r="445" spans="3:3" x14ac:dyDescent="0.45">
      <c r="C445" s="31"/>
    </row>
    <row r="446" spans="3:3" x14ac:dyDescent="0.45">
      <c r="C446" s="31"/>
    </row>
    <row r="447" spans="3:3" x14ac:dyDescent="0.45">
      <c r="C447" s="31"/>
    </row>
    <row r="448" spans="3:3" x14ac:dyDescent="0.45">
      <c r="C448" s="31"/>
    </row>
    <row r="449" spans="3:3" x14ac:dyDescent="0.45">
      <c r="C449" s="31"/>
    </row>
    <row r="450" spans="3:3" x14ac:dyDescent="0.45">
      <c r="C450" s="31"/>
    </row>
    <row r="451" spans="3:3" x14ac:dyDescent="0.45">
      <c r="C451" s="31"/>
    </row>
    <row r="452" spans="3:3" x14ac:dyDescent="0.45">
      <c r="C452" s="31"/>
    </row>
    <row r="453" spans="3:3" x14ac:dyDescent="0.45">
      <c r="C453" s="31"/>
    </row>
    <row r="454" spans="3:3" x14ac:dyDescent="0.45">
      <c r="C454" s="31"/>
    </row>
    <row r="455" spans="3:3" x14ac:dyDescent="0.45">
      <c r="C455" s="31"/>
    </row>
    <row r="456" spans="3:3" x14ac:dyDescent="0.45">
      <c r="C456" s="31"/>
    </row>
    <row r="457" spans="3:3" x14ac:dyDescent="0.45">
      <c r="C457" s="31"/>
    </row>
    <row r="458" spans="3:3" x14ac:dyDescent="0.45">
      <c r="C458" s="31"/>
    </row>
    <row r="459" spans="3:3" x14ac:dyDescent="0.45">
      <c r="C459" s="31"/>
    </row>
    <row r="460" spans="3:3" x14ac:dyDescent="0.45">
      <c r="C460" s="31"/>
    </row>
    <row r="461" spans="3:3" x14ac:dyDescent="0.45">
      <c r="C461" s="31"/>
    </row>
    <row r="462" spans="3:3" x14ac:dyDescent="0.45">
      <c r="C462" s="31"/>
    </row>
    <row r="463" spans="3:3" x14ac:dyDescent="0.45">
      <c r="C463" s="31"/>
    </row>
    <row r="464" spans="3:3" x14ac:dyDescent="0.45">
      <c r="C464" s="31"/>
    </row>
    <row r="465" spans="3:3" x14ac:dyDescent="0.45">
      <c r="C465" s="31"/>
    </row>
    <row r="466" spans="3:3" x14ac:dyDescent="0.45">
      <c r="C466" s="31"/>
    </row>
    <row r="467" spans="3:3" x14ac:dyDescent="0.45">
      <c r="C467" s="31"/>
    </row>
    <row r="468" spans="3:3" x14ac:dyDescent="0.45">
      <c r="C468" s="31"/>
    </row>
    <row r="469" spans="3:3" x14ac:dyDescent="0.45">
      <c r="C469" s="31"/>
    </row>
    <row r="470" spans="3:3" x14ac:dyDescent="0.45">
      <c r="C470" s="31"/>
    </row>
    <row r="471" spans="3:3" x14ac:dyDescent="0.45">
      <c r="C471" s="31"/>
    </row>
    <row r="472" spans="3:3" x14ac:dyDescent="0.45">
      <c r="C472" s="31"/>
    </row>
    <row r="473" spans="3:3" x14ac:dyDescent="0.45">
      <c r="C473" s="31"/>
    </row>
    <row r="474" spans="3:3" x14ac:dyDescent="0.45">
      <c r="C474" s="31"/>
    </row>
    <row r="475" spans="3:3" x14ac:dyDescent="0.45">
      <c r="C475" s="31"/>
    </row>
    <row r="476" spans="3:3" x14ac:dyDescent="0.45">
      <c r="C476" s="31"/>
    </row>
    <row r="477" spans="3:3" x14ac:dyDescent="0.45">
      <c r="C477" s="31"/>
    </row>
    <row r="478" spans="3:3" x14ac:dyDescent="0.45">
      <c r="C478" s="31"/>
    </row>
    <row r="479" spans="3:3" x14ac:dyDescent="0.45">
      <c r="C479" s="31"/>
    </row>
    <row r="480" spans="3:3" x14ac:dyDescent="0.45">
      <c r="C480" s="31"/>
    </row>
    <row r="481" spans="3:3" x14ac:dyDescent="0.45">
      <c r="C481" s="31"/>
    </row>
    <row r="482" spans="3:3" x14ac:dyDescent="0.45">
      <c r="C482" s="31"/>
    </row>
    <row r="483" spans="3:3" x14ac:dyDescent="0.45">
      <c r="C483" s="31"/>
    </row>
    <row r="484" spans="3:3" x14ac:dyDescent="0.45">
      <c r="C484" s="31"/>
    </row>
    <row r="485" spans="3:3" x14ac:dyDescent="0.45">
      <c r="C485" s="31"/>
    </row>
    <row r="486" spans="3:3" x14ac:dyDescent="0.45">
      <c r="C486" s="31"/>
    </row>
    <row r="487" spans="3:3" x14ac:dyDescent="0.45">
      <c r="C487" s="31"/>
    </row>
    <row r="488" spans="3:3" x14ac:dyDescent="0.45">
      <c r="C488" s="31"/>
    </row>
    <row r="489" spans="3:3" x14ac:dyDescent="0.45">
      <c r="C489" s="31"/>
    </row>
    <row r="490" spans="3:3" x14ac:dyDescent="0.45">
      <c r="C490" s="31"/>
    </row>
    <row r="491" spans="3:3" x14ac:dyDescent="0.45">
      <c r="C491" s="31"/>
    </row>
    <row r="492" spans="3:3" x14ac:dyDescent="0.45">
      <c r="C492" s="31"/>
    </row>
    <row r="493" spans="3:3" x14ac:dyDescent="0.45">
      <c r="C493" s="31"/>
    </row>
    <row r="494" spans="3:3" x14ac:dyDescent="0.45">
      <c r="C494" s="31"/>
    </row>
    <row r="495" spans="3:3" x14ac:dyDescent="0.45">
      <c r="C495" s="31"/>
    </row>
    <row r="496" spans="3:3" x14ac:dyDescent="0.45">
      <c r="C496" s="31"/>
    </row>
    <row r="497" spans="3:3" x14ac:dyDescent="0.45">
      <c r="C497" s="31"/>
    </row>
    <row r="498" spans="3:3" x14ac:dyDescent="0.45">
      <c r="C498" s="31"/>
    </row>
    <row r="499" spans="3:3" x14ac:dyDescent="0.45">
      <c r="C499" s="31"/>
    </row>
    <row r="500" spans="3:3" x14ac:dyDescent="0.45">
      <c r="C500" s="31"/>
    </row>
    <row r="501" spans="3:3" x14ac:dyDescent="0.45">
      <c r="C501" s="31"/>
    </row>
    <row r="502" spans="3:3" x14ac:dyDescent="0.45">
      <c r="C502" s="31"/>
    </row>
    <row r="503" spans="3:3" x14ac:dyDescent="0.45">
      <c r="C503" s="31"/>
    </row>
    <row r="504" spans="3:3" x14ac:dyDescent="0.45">
      <c r="C504" s="31"/>
    </row>
    <row r="505" spans="3:3" x14ac:dyDescent="0.45">
      <c r="C505" s="31"/>
    </row>
    <row r="506" spans="3:3" x14ac:dyDescent="0.45">
      <c r="C506" s="31"/>
    </row>
    <row r="507" spans="3:3" ht="14.65" thickBot="1" x14ac:dyDescent="0.5">
      <c r="C507" s="32"/>
    </row>
    <row r="508" spans="3:3" ht="14.65" thickTop="1" x14ac:dyDescent="0.4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28F5D-E640-4719-9B41-315579396C42}">
  <sheetPr codeName="Sheet2"/>
  <dimension ref="A1:O508"/>
  <sheetViews>
    <sheetView tabSelected="1" workbookViewId="0">
      <selection activeCell="D4" sqref="D4"/>
    </sheetView>
  </sheetViews>
  <sheetFormatPr defaultColWidth="11.9296875" defaultRowHeight="16.05" customHeight="1" x14ac:dyDescent="0.45"/>
  <cols>
    <col min="1" max="1" width="15.59765625" style="15" customWidth="1"/>
    <col min="2" max="2" width="9.53125" style="15" customWidth="1"/>
    <col min="3" max="3" width="10.796875" style="15" bestFit="1" customWidth="1"/>
    <col min="4" max="4" width="14.1328125" style="15" customWidth="1"/>
    <col min="5" max="5" width="13.86328125" style="15" customWidth="1"/>
    <col min="6" max="16384" width="11.9296875" style="15"/>
  </cols>
  <sheetData>
    <row r="1" spans="1:15" ht="40.049999999999997" customHeight="1" x14ac:dyDescent="0.45">
      <c r="A1" s="45" t="s">
        <v>12</v>
      </c>
      <c r="B1" s="45"/>
      <c r="C1" s="45"/>
      <c r="D1" s="45"/>
      <c r="E1" s="45"/>
      <c r="F1" s="45"/>
      <c r="G1" s="45"/>
      <c r="H1" s="45"/>
      <c r="I1" s="45"/>
      <c r="J1" s="45"/>
      <c r="K1" s="14" t="s">
        <v>0</v>
      </c>
    </row>
    <row r="2" spans="1:15" ht="32" customHeight="1" x14ac:dyDescent="0.45">
      <c r="A2" s="46" t="s">
        <v>13</v>
      </c>
      <c r="B2" s="46"/>
      <c r="C2" s="46"/>
      <c r="D2" s="46"/>
      <c r="E2" s="46"/>
      <c r="F2" s="46"/>
      <c r="G2" s="46"/>
      <c r="H2" s="46"/>
      <c r="I2" s="46"/>
      <c r="J2" s="46"/>
    </row>
    <row r="3" spans="1:15" ht="33.5" customHeight="1" x14ac:dyDescent="0.45">
      <c r="A3" s="47" t="s">
        <v>14</v>
      </c>
      <c r="B3" s="47"/>
      <c r="C3" s="33"/>
      <c r="D3" s="33"/>
      <c r="E3" s="33"/>
      <c r="F3" s="33"/>
      <c r="G3" s="33"/>
      <c r="H3" s="33"/>
      <c r="I3" s="33"/>
      <c r="J3" s="33"/>
      <c r="K3" s="33"/>
    </row>
    <row r="4" spans="1:15" s="18" customFormat="1" ht="13.15" x14ac:dyDescent="0.45">
      <c r="A4" s="16" t="s">
        <v>16</v>
      </c>
      <c r="B4" s="17" t="s">
        <v>17</v>
      </c>
    </row>
    <row r="5" spans="1:15" s="23" customFormat="1" ht="27" customHeight="1" thickBot="1" x14ac:dyDescent="0.4">
      <c r="A5" s="19">
        <v>44169.794555567132</v>
      </c>
      <c r="B5" s="20">
        <v>17</v>
      </c>
      <c r="C5" s="21"/>
      <c r="D5" s="21"/>
      <c r="E5" s="21"/>
      <c r="F5" s="21"/>
      <c r="G5" s="21"/>
      <c r="H5" s="21"/>
      <c r="I5" s="21"/>
      <c r="J5" s="21"/>
      <c r="K5" s="21"/>
      <c r="L5" s="22"/>
    </row>
    <row r="6" spans="1:15" ht="33.5" customHeight="1" thickTop="1" x14ac:dyDescent="0.45">
      <c r="A6" s="48" t="s">
        <v>15</v>
      </c>
      <c r="B6" s="48"/>
      <c r="C6" s="33"/>
      <c r="D6" s="33"/>
      <c r="E6" s="33"/>
      <c r="F6" s="33"/>
      <c r="G6" s="33"/>
      <c r="H6" s="33"/>
      <c r="I6" s="33"/>
      <c r="J6" s="33"/>
      <c r="K6" s="33"/>
    </row>
    <row r="7" spans="1:15" s="18" customFormat="1" ht="13.15" x14ac:dyDescent="0.45">
      <c r="A7" s="24" t="str">
        <f>IF(A4="","",A4)</f>
        <v>Time</v>
      </c>
      <c r="B7" s="25" t="str">
        <f>IF(B4="","",B4)</f>
        <v>CH1</v>
      </c>
      <c r="C7" s="18" t="s">
        <v>20</v>
      </c>
      <c r="D7" s="18" t="s">
        <v>22</v>
      </c>
      <c r="E7" s="18" t="s">
        <v>21</v>
      </c>
      <c r="G7" s="18" t="str">
        <f t="shared" ref="G7:K7" si="0">IF(G4="","",G4)</f>
        <v/>
      </c>
      <c r="H7" s="18" t="str">
        <f t="shared" si="0"/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</row>
    <row r="8" spans="1:15" ht="19.5" customHeight="1" x14ac:dyDescent="0.45">
      <c r="A8" s="40">
        <v>44169.794519016206</v>
      </c>
      <c r="B8" s="37">
        <v>17</v>
      </c>
      <c r="C8" s="35">
        <f>0</f>
        <v>0</v>
      </c>
      <c r="D8" s="35">
        <f>(2/256)*IMABS(E8)</f>
        <v>110.2421875</v>
      </c>
      <c r="E8" t="s">
        <v>23</v>
      </c>
      <c r="F8" s="26"/>
      <c r="G8" s="26"/>
      <c r="H8" s="26"/>
      <c r="I8" s="26"/>
      <c r="J8" s="26"/>
      <c r="K8" s="26"/>
      <c r="L8" s="27"/>
      <c r="O8" s="26"/>
    </row>
    <row r="9" spans="1:15" ht="19.5" customHeight="1" x14ac:dyDescent="0.45">
      <c r="A9" s="41">
        <v>44169.794519108793</v>
      </c>
      <c r="B9" s="38">
        <v>17</v>
      </c>
      <c r="C9" s="35">
        <f>(C8)+1</f>
        <v>1</v>
      </c>
      <c r="D9" s="35">
        <f t="shared" ref="D9:D72" si="1">(2/256)*IMABS(E9)</f>
        <v>1.0916087059838655</v>
      </c>
      <c r="E9" t="s">
        <v>24</v>
      </c>
      <c r="F9" s="26"/>
      <c r="G9" s="26"/>
      <c r="H9" s="26"/>
      <c r="I9" s="26"/>
      <c r="J9" s="26"/>
      <c r="K9" s="26"/>
      <c r="L9" s="27"/>
      <c r="O9" s="26"/>
    </row>
    <row r="10" spans="1:15" ht="19.5" customHeight="1" x14ac:dyDescent="0.45">
      <c r="A10" s="41">
        <v>44169.79451915509</v>
      </c>
      <c r="B10" s="38">
        <v>17</v>
      </c>
      <c r="C10" s="35">
        <f t="shared" ref="C10:C73" si="2">(C9)+1</f>
        <v>2</v>
      </c>
      <c r="D10" s="35">
        <f t="shared" si="1"/>
        <v>0.84161047014655477</v>
      </c>
      <c r="E10" t="s">
        <v>25</v>
      </c>
      <c r="F10" s="26"/>
      <c r="G10" s="26"/>
      <c r="H10" s="26"/>
      <c r="I10" s="26"/>
      <c r="J10" s="26"/>
      <c r="K10" s="26"/>
      <c r="L10" s="27"/>
      <c r="O10" s="26"/>
    </row>
    <row r="11" spans="1:15" ht="19.5" customHeight="1" x14ac:dyDescent="0.45">
      <c r="A11" s="41">
        <v>44169.794519247684</v>
      </c>
      <c r="B11" s="38">
        <v>16</v>
      </c>
      <c r="C11" s="35">
        <f t="shared" si="2"/>
        <v>3</v>
      </c>
      <c r="D11" s="35">
        <f t="shared" si="1"/>
        <v>1.2508356431476992</v>
      </c>
      <c r="E11" t="s">
        <v>26</v>
      </c>
      <c r="F11" s="26"/>
      <c r="G11" s="26"/>
      <c r="H11" s="26"/>
      <c r="I11" s="26"/>
      <c r="J11" s="26"/>
      <c r="K11" s="26"/>
      <c r="L11" s="27"/>
      <c r="O11" s="26"/>
    </row>
    <row r="12" spans="1:15" ht="19.5" customHeight="1" x14ac:dyDescent="0.45">
      <c r="A12" s="41">
        <v>44169.794519293981</v>
      </c>
      <c r="B12" s="38">
        <v>17</v>
      </c>
      <c r="C12" s="35">
        <f t="shared" si="2"/>
        <v>4</v>
      </c>
      <c r="D12" s="35">
        <f t="shared" si="1"/>
        <v>4.0410277279506115</v>
      </c>
      <c r="E12" t="s">
        <v>27</v>
      </c>
      <c r="F12" s="26"/>
      <c r="G12" s="26"/>
      <c r="H12" s="26"/>
      <c r="I12" s="26"/>
      <c r="J12" s="26"/>
      <c r="K12" s="26"/>
      <c r="L12" s="27"/>
      <c r="O12" s="26"/>
    </row>
    <row r="13" spans="1:15" ht="19.5" customHeight="1" x14ac:dyDescent="0.45">
      <c r="A13" s="41">
        <v>44169.794519386574</v>
      </c>
      <c r="B13" s="38">
        <v>17</v>
      </c>
      <c r="C13" s="35">
        <f t="shared" si="2"/>
        <v>5</v>
      </c>
      <c r="D13" s="35">
        <f t="shared" si="1"/>
        <v>63.131697760514221</v>
      </c>
      <c r="E13" t="s">
        <v>28</v>
      </c>
      <c r="F13" s="26"/>
      <c r="G13" s="26"/>
      <c r="H13" s="26"/>
      <c r="I13" s="26"/>
      <c r="J13" s="26"/>
      <c r="K13" s="26"/>
      <c r="L13" s="27"/>
      <c r="O13" s="26"/>
    </row>
    <row r="14" spans="1:15" ht="19.5" customHeight="1" x14ac:dyDescent="0.45">
      <c r="A14" s="41">
        <v>44169.794519432871</v>
      </c>
      <c r="B14" s="38">
        <v>17</v>
      </c>
      <c r="C14" s="35">
        <f t="shared" si="2"/>
        <v>6</v>
      </c>
      <c r="D14" s="35">
        <f t="shared" si="1"/>
        <v>4.6861325812024033</v>
      </c>
      <c r="E14" t="s">
        <v>29</v>
      </c>
      <c r="F14" s="26"/>
      <c r="G14" s="26"/>
      <c r="H14" s="26"/>
      <c r="I14" s="26"/>
      <c r="J14" s="26"/>
      <c r="K14" s="26"/>
      <c r="L14" s="27"/>
      <c r="O14" s="26"/>
    </row>
    <row r="15" spans="1:15" ht="19.5" customHeight="1" x14ac:dyDescent="0.45">
      <c r="A15" s="41">
        <v>44169.794519537034</v>
      </c>
      <c r="B15" s="38">
        <v>17</v>
      </c>
      <c r="C15" s="35">
        <f t="shared" si="2"/>
        <v>7</v>
      </c>
      <c r="D15" s="35">
        <f t="shared" si="1"/>
        <v>2.2286609518911198</v>
      </c>
      <c r="E15" t="s">
        <v>30</v>
      </c>
      <c r="F15" s="26"/>
      <c r="G15" s="26"/>
      <c r="H15" s="26"/>
      <c r="I15" s="26"/>
      <c r="J15" s="26"/>
      <c r="K15" s="26"/>
      <c r="L15" s="27"/>
      <c r="O15" s="26"/>
    </row>
    <row r="16" spans="1:15" ht="19.5" customHeight="1" x14ac:dyDescent="0.45">
      <c r="A16" s="41">
        <v>44169.794519583331</v>
      </c>
      <c r="B16" s="38">
        <v>16</v>
      </c>
      <c r="C16" s="35">
        <f t="shared" si="2"/>
        <v>8</v>
      </c>
      <c r="D16" s="35">
        <f t="shared" si="1"/>
        <v>1.9759197815906571</v>
      </c>
      <c r="E16" t="s">
        <v>31</v>
      </c>
      <c r="F16" s="26"/>
      <c r="G16" s="26"/>
      <c r="H16" s="26"/>
      <c r="I16" s="26"/>
      <c r="J16" s="26"/>
      <c r="K16" s="26"/>
      <c r="L16" s="27"/>
      <c r="O16" s="26"/>
    </row>
    <row r="17" spans="1:15" ht="19.5" customHeight="1" x14ac:dyDescent="0.45">
      <c r="A17" s="41">
        <v>44169.794519675925</v>
      </c>
      <c r="B17" s="38">
        <v>16</v>
      </c>
      <c r="C17" s="35">
        <f t="shared" si="2"/>
        <v>9</v>
      </c>
      <c r="D17" s="35">
        <f t="shared" si="1"/>
        <v>5.2112246298562797</v>
      </c>
      <c r="E17" t="s">
        <v>32</v>
      </c>
      <c r="F17" s="26"/>
      <c r="G17" s="26"/>
      <c r="H17" s="26"/>
      <c r="I17" s="26"/>
      <c r="J17" s="26"/>
      <c r="K17" s="26"/>
      <c r="L17" s="27"/>
      <c r="O17" s="26"/>
    </row>
    <row r="18" spans="1:15" ht="19.5" customHeight="1" x14ac:dyDescent="0.45">
      <c r="A18" s="41">
        <v>44169.794519722222</v>
      </c>
      <c r="B18" s="39">
        <v>16</v>
      </c>
      <c r="C18" s="35">
        <f t="shared" si="2"/>
        <v>10</v>
      </c>
      <c r="D18" s="35">
        <f t="shared" si="1"/>
        <v>29.978376081017704</v>
      </c>
      <c r="E18" t="s">
        <v>33</v>
      </c>
      <c r="F18" s="26"/>
      <c r="G18" s="26"/>
      <c r="H18" s="26"/>
      <c r="I18" s="26"/>
      <c r="J18" s="26"/>
      <c r="K18" s="26"/>
      <c r="L18" s="27"/>
      <c r="O18" s="26"/>
    </row>
    <row r="19" spans="1:15" ht="19.5" customHeight="1" x14ac:dyDescent="0.45">
      <c r="A19" s="41">
        <v>44169.794519814815</v>
      </c>
      <c r="B19" s="38">
        <v>16</v>
      </c>
      <c r="C19" s="35">
        <f t="shared" si="2"/>
        <v>11</v>
      </c>
      <c r="D19" s="35">
        <f t="shared" si="1"/>
        <v>3.3357834086649492</v>
      </c>
      <c r="E19" t="s">
        <v>34</v>
      </c>
      <c r="F19" s="26"/>
      <c r="G19" s="26"/>
      <c r="H19" s="26"/>
      <c r="I19" s="26"/>
      <c r="J19" s="26"/>
      <c r="K19" s="26"/>
      <c r="L19" s="27"/>
      <c r="O19" s="26"/>
    </row>
    <row r="20" spans="1:15" ht="19.5" customHeight="1" x14ac:dyDescent="0.45">
      <c r="A20" s="41">
        <v>44169.794519872688</v>
      </c>
      <c r="B20" s="38">
        <v>17</v>
      </c>
      <c r="C20" s="35">
        <f t="shared" si="2"/>
        <v>12</v>
      </c>
      <c r="D20" s="35">
        <f t="shared" si="1"/>
        <v>1.1341064563815346</v>
      </c>
      <c r="E20" t="s">
        <v>35</v>
      </c>
      <c r="F20" s="26"/>
      <c r="G20" s="26"/>
      <c r="H20" s="26"/>
      <c r="I20" s="26"/>
      <c r="J20" s="26"/>
      <c r="K20" s="26"/>
      <c r="L20" s="27"/>
      <c r="O20" s="26"/>
    </row>
    <row r="21" spans="1:15" ht="19.5" customHeight="1" x14ac:dyDescent="0.45">
      <c r="A21" s="41">
        <v>44169.794519965275</v>
      </c>
      <c r="B21" s="38">
        <v>17</v>
      </c>
      <c r="C21" s="35">
        <f t="shared" si="2"/>
        <v>13</v>
      </c>
      <c r="D21" s="35">
        <f t="shared" si="1"/>
        <v>0.52202754279290309</v>
      </c>
      <c r="E21" t="s">
        <v>36</v>
      </c>
      <c r="F21" s="26"/>
      <c r="G21" s="26"/>
      <c r="H21" s="26"/>
      <c r="I21" s="26"/>
      <c r="J21" s="26"/>
      <c r="K21" s="26"/>
      <c r="L21" s="27"/>
      <c r="O21" s="26"/>
    </row>
    <row r="22" spans="1:15" ht="19.5" customHeight="1" x14ac:dyDescent="0.45">
      <c r="A22" s="41">
        <v>44169.794520011572</v>
      </c>
      <c r="B22" s="38">
        <v>17</v>
      </c>
      <c r="C22" s="35">
        <f t="shared" si="2"/>
        <v>14</v>
      </c>
      <c r="D22" s="35">
        <f t="shared" si="1"/>
        <v>0.30965348702699946</v>
      </c>
      <c r="E22" t="s">
        <v>37</v>
      </c>
      <c r="F22" s="26"/>
      <c r="G22" s="26"/>
      <c r="H22" s="26"/>
      <c r="I22" s="26"/>
      <c r="J22" s="26"/>
      <c r="K22" s="26"/>
      <c r="L22" s="28"/>
      <c r="O22" s="26"/>
    </row>
    <row r="23" spans="1:15" ht="19.5" customHeight="1" x14ac:dyDescent="0.45">
      <c r="A23" s="41">
        <v>44169.794520104166</v>
      </c>
      <c r="B23" s="38">
        <v>17</v>
      </c>
      <c r="C23" s="35">
        <f t="shared" si="2"/>
        <v>15</v>
      </c>
      <c r="D23" s="35">
        <f t="shared" si="1"/>
        <v>4.7198173972473425</v>
      </c>
      <c r="E23" t="s">
        <v>38</v>
      </c>
      <c r="F23" s="26"/>
      <c r="G23" s="26"/>
      <c r="H23" s="26"/>
      <c r="I23" s="26"/>
      <c r="J23" s="26"/>
      <c r="K23" s="26"/>
      <c r="L23" s="27"/>
      <c r="O23" s="26"/>
    </row>
    <row r="24" spans="1:15" ht="19.5" customHeight="1" x14ac:dyDescent="0.45">
      <c r="A24" s="41">
        <v>44169.794520150463</v>
      </c>
      <c r="B24" s="38">
        <v>16</v>
      </c>
      <c r="C24" s="35">
        <f t="shared" si="2"/>
        <v>16</v>
      </c>
      <c r="D24" s="35">
        <f t="shared" si="1"/>
        <v>2.0624549773359822</v>
      </c>
      <c r="E24" t="s">
        <v>39</v>
      </c>
      <c r="F24" s="26"/>
      <c r="G24" s="26"/>
      <c r="H24" s="26"/>
      <c r="I24" s="26"/>
      <c r="J24" s="26"/>
      <c r="K24" s="26"/>
      <c r="O24" s="26"/>
    </row>
    <row r="25" spans="1:15" ht="19.5" customHeight="1" x14ac:dyDescent="0.45">
      <c r="A25" s="41">
        <v>44169.794520243056</v>
      </c>
      <c r="B25" s="38">
        <v>17</v>
      </c>
      <c r="C25" s="35">
        <f t="shared" si="2"/>
        <v>17</v>
      </c>
      <c r="D25" s="35">
        <f t="shared" si="1"/>
        <v>1.714590114583763</v>
      </c>
      <c r="E25" t="s">
        <v>40</v>
      </c>
      <c r="F25" s="26"/>
      <c r="G25" s="26"/>
      <c r="H25" s="26"/>
      <c r="I25" s="26"/>
      <c r="J25" s="26"/>
      <c r="K25" s="26"/>
      <c r="O25" s="26"/>
    </row>
    <row r="26" spans="1:15" ht="19.5" customHeight="1" x14ac:dyDescent="0.45">
      <c r="A26" s="41">
        <v>44169.79452033565</v>
      </c>
      <c r="B26" s="38">
        <v>672</v>
      </c>
      <c r="C26" s="35">
        <f t="shared" si="2"/>
        <v>18</v>
      </c>
      <c r="D26" s="35">
        <f t="shared" si="1"/>
        <v>1.8194701458355507</v>
      </c>
      <c r="E26" t="s">
        <v>41</v>
      </c>
      <c r="F26" s="26"/>
      <c r="G26" s="26"/>
      <c r="H26" s="26"/>
      <c r="I26" s="26"/>
      <c r="J26" s="26"/>
      <c r="K26" s="26"/>
      <c r="O26" s="26"/>
    </row>
    <row r="27" spans="1:15" ht="19.5" customHeight="1" x14ac:dyDescent="0.45">
      <c r="A27" s="41">
        <v>44169.794520381947</v>
      </c>
      <c r="B27" s="38">
        <v>17</v>
      </c>
      <c r="C27" s="35">
        <f t="shared" si="2"/>
        <v>19</v>
      </c>
      <c r="D27" s="35">
        <f t="shared" si="1"/>
        <v>6.6726544738276381</v>
      </c>
      <c r="E27" t="s">
        <v>42</v>
      </c>
      <c r="F27" s="26"/>
      <c r="G27" s="26"/>
      <c r="H27" s="26"/>
      <c r="I27" s="26"/>
      <c r="J27" s="26"/>
      <c r="K27" s="26"/>
      <c r="O27" s="26"/>
    </row>
    <row r="28" spans="1:15" ht="19.5" customHeight="1" x14ac:dyDescent="0.45">
      <c r="A28" s="41">
        <v>44169.79452048611</v>
      </c>
      <c r="B28" s="38">
        <v>17</v>
      </c>
      <c r="C28" s="35">
        <f t="shared" si="2"/>
        <v>20</v>
      </c>
      <c r="D28" s="35">
        <f t="shared" si="1"/>
        <v>22.248536003572937</v>
      </c>
      <c r="E28" t="s">
        <v>43</v>
      </c>
      <c r="F28" s="26"/>
      <c r="G28" s="26"/>
      <c r="H28" s="26"/>
      <c r="I28" s="26"/>
      <c r="J28" s="26"/>
      <c r="K28" s="26"/>
      <c r="O28" s="26"/>
    </row>
    <row r="29" spans="1:15" ht="19.5" customHeight="1" x14ac:dyDescent="0.45">
      <c r="A29" s="41">
        <v>44169.794520532407</v>
      </c>
      <c r="B29" s="38">
        <v>16</v>
      </c>
      <c r="C29" s="35">
        <f t="shared" si="2"/>
        <v>21</v>
      </c>
      <c r="D29" s="35">
        <f t="shared" si="1"/>
        <v>6.3646294594332087</v>
      </c>
      <c r="E29" t="s">
        <v>44</v>
      </c>
      <c r="F29" s="26"/>
      <c r="G29" s="26"/>
      <c r="H29" s="26"/>
      <c r="I29" s="26"/>
      <c r="J29" s="26"/>
      <c r="K29" s="26"/>
      <c r="O29" s="26"/>
    </row>
    <row r="30" spans="1:15" ht="19.5" customHeight="1" x14ac:dyDescent="0.45">
      <c r="A30" s="41">
        <v>44169.794520625001</v>
      </c>
      <c r="B30" s="38">
        <v>16</v>
      </c>
      <c r="C30" s="35">
        <f t="shared" si="2"/>
        <v>22</v>
      </c>
      <c r="D30" s="35">
        <f t="shared" si="1"/>
        <v>3.5562715923294403</v>
      </c>
      <c r="E30" t="s">
        <v>45</v>
      </c>
      <c r="F30" s="26"/>
      <c r="G30" s="26"/>
      <c r="H30" s="26"/>
      <c r="I30" s="26"/>
      <c r="J30" s="26"/>
      <c r="K30" s="26"/>
      <c r="O30" s="26"/>
    </row>
    <row r="31" spans="1:15" ht="19.5" customHeight="1" x14ac:dyDescent="0.45">
      <c r="A31" s="41">
        <v>44169.794520671298</v>
      </c>
      <c r="B31" s="38">
        <v>16</v>
      </c>
      <c r="C31" s="35">
        <f t="shared" si="2"/>
        <v>23</v>
      </c>
      <c r="D31" s="35">
        <f t="shared" si="1"/>
        <v>2.6135045296768786</v>
      </c>
      <c r="E31" t="s">
        <v>46</v>
      </c>
      <c r="F31" s="26"/>
      <c r="G31" s="26"/>
      <c r="H31" s="26"/>
      <c r="I31" s="26"/>
      <c r="J31" s="26"/>
      <c r="K31" s="26"/>
      <c r="O31" s="26"/>
    </row>
    <row r="32" spans="1:15" ht="19.5" customHeight="1" x14ac:dyDescent="0.45">
      <c r="A32" s="41">
        <v>44169.794520763891</v>
      </c>
      <c r="B32" s="38">
        <v>672</v>
      </c>
      <c r="C32" s="35">
        <f t="shared" si="2"/>
        <v>24</v>
      </c>
      <c r="D32" s="35">
        <f t="shared" si="1"/>
        <v>8.0927981183257405</v>
      </c>
      <c r="E32" t="s">
        <v>47</v>
      </c>
      <c r="F32" s="26"/>
      <c r="G32" s="26"/>
      <c r="H32" s="26"/>
      <c r="I32" s="26"/>
      <c r="J32" s="26"/>
      <c r="K32" s="26"/>
      <c r="O32" s="26"/>
    </row>
    <row r="33" spans="1:15" ht="19.5" customHeight="1" x14ac:dyDescent="0.45">
      <c r="A33" s="41">
        <v>44169.794520856478</v>
      </c>
      <c r="B33" s="38">
        <v>17</v>
      </c>
      <c r="C33" s="35">
        <f t="shared" si="2"/>
        <v>25</v>
      </c>
      <c r="D33" s="35">
        <f t="shared" si="1"/>
        <v>15.635662993166928</v>
      </c>
      <c r="E33" t="s">
        <v>48</v>
      </c>
      <c r="F33" s="26"/>
      <c r="G33" s="26"/>
      <c r="H33" s="26"/>
      <c r="I33" s="26"/>
      <c r="J33" s="26"/>
      <c r="K33" s="26"/>
      <c r="O33" s="26"/>
    </row>
    <row r="34" spans="1:15" ht="19.5" customHeight="1" x14ac:dyDescent="0.45">
      <c r="A34" s="41">
        <v>44169.794520914351</v>
      </c>
      <c r="B34" s="39">
        <v>17</v>
      </c>
      <c r="C34" s="35">
        <f t="shared" si="2"/>
        <v>26</v>
      </c>
      <c r="D34" s="35">
        <f t="shared" si="1"/>
        <v>4.0265605582922399</v>
      </c>
      <c r="E34" t="s">
        <v>49</v>
      </c>
      <c r="F34" s="26"/>
      <c r="G34" s="26"/>
      <c r="H34" s="26"/>
      <c r="I34" s="26"/>
      <c r="J34" s="26"/>
      <c r="K34" s="26"/>
      <c r="O34" s="26"/>
    </row>
    <row r="35" spans="1:15" ht="19.5" customHeight="1" x14ac:dyDescent="0.45">
      <c r="A35" s="41">
        <v>44169.794521006945</v>
      </c>
      <c r="B35" s="38">
        <v>17</v>
      </c>
      <c r="C35" s="35">
        <f t="shared" si="2"/>
        <v>27</v>
      </c>
      <c r="D35" s="35">
        <f t="shared" si="1"/>
        <v>1.5070855192036292</v>
      </c>
      <c r="E35" t="s">
        <v>50</v>
      </c>
      <c r="F35" s="26"/>
      <c r="G35" s="26"/>
      <c r="H35" s="26"/>
      <c r="I35" s="26"/>
      <c r="J35" s="26"/>
      <c r="K35" s="26"/>
      <c r="O35" s="26"/>
    </row>
    <row r="36" spans="1:15" ht="19.5" customHeight="1" x14ac:dyDescent="0.45">
      <c r="A36" s="41">
        <v>44169.794521053242</v>
      </c>
      <c r="B36" s="38">
        <v>17</v>
      </c>
      <c r="C36" s="35">
        <f t="shared" si="2"/>
        <v>28</v>
      </c>
      <c r="D36" s="35">
        <f t="shared" si="1"/>
        <v>0.34913819045629796</v>
      </c>
      <c r="E36" t="s">
        <v>51</v>
      </c>
      <c r="F36" s="26"/>
      <c r="G36" s="26"/>
      <c r="H36" s="26"/>
      <c r="I36" s="26"/>
      <c r="J36" s="26"/>
      <c r="K36" s="26"/>
      <c r="O36" s="26"/>
    </row>
    <row r="37" spans="1:15" ht="19.5" customHeight="1" x14ac:dyDescent="0.45">
      <c r="A37" s="41">
        <v>44169.794521145835</v>
      </c>
      <c r="B37" s="38">
        <v>17</v>
      </c>
      <c r="C37" s="35">
        <f t="shared" si="2"/>
        <v>29</v>
      </c>
      <c r="D37" s="35">
        <f t="shared" si="1"/>
        <v>1.726189610652203</v>
      </c>
      <c r="E37" t="s">
        <v>52</v>
      </c>
      <c r="F37" s="26"/>
      <c r="G37" s="26"/>
      <c r="H37" s="26"/>
      <c r="I37" s="26"/>
      <c r="J37" s="26"/>
      <c r="K37" s="26"/>
      <c r="O37" s="26"/>
    </row>
    <row r="38" spans="1:15" ht="19.5" customHeight="1" x14ac:dyDescent="0.45">
      <c r="A38" s="41">
        <v>44169.794521203701</v>
      </c>
      <c r="B38" s="38">
        <v>672</v>
      </c>
      <c r="C38" s="35">
        <f t="shared" si="2"/>
        <v>30</v>
      </c>
      <c r="D38" s="35">
        <f t="shared" si="1"/>
        <v>8.5537519622064195</v>
      </c>
      <c r="E38" t="s">
        <v>53</v>
      </c>
      <c r="F38" s="26"/>
      <c r="G38" s="26"/>
      <c r="H38" s="26"/>
      <c r="I38" s="26"/>
      <c r="J38" s="26"/>
      <c r="K38" s="26"/>
      <c r="O38" s="26"/>
    </row>
    <row r="39" spans="1:15" ht="19.5" customHeight="1" x14ac:dyDescent="0.45">
      <c r="A39" s="41">
        <v>44169.794521388889</v>
      </c>
      <c r="B39" s="38">
        <v>16</v>
      </c>
      <c r="C39" s="35">
        <f t="shared" si="2"/>
        <v>31</v>
      </c>
      <c r="D39" s="35">
        <f t="shared" si="1"/>
        <v>5.7093983279505975</v>
      </c>
      <c r="E39" t="s">
        <v>54</v>
      </c>
      <c r="F39" s="26"/>
      <c r="G39" s="26"/>
      <c r="H39" s="26"/>
      <c r="I39" s="26"/>
      <c r="J39" s="26"/>
      <c r="K39" s="26"/>
      <c r="O39" s="26"/>
    </row>
    <row r="40" spans="1:15" ht="19.5" customHeight="1" x14ac:dyDescent="0.45">
      <c r="A40" s="41">
        <v>44169.794521388889</v>
      </c>
      <c r="B40" s="38">
        <v>17</v>
      </c>
      <c r="C40" s="35">
        <f t="shared" si="2"/>
        <v>32</v>
      </c>
      <c r="D40" s="35">
        <f t="shared" si="1"/>
        <v>5.0387130337642496</v>
      </c>
      <c r="E40" t="s">
        <v>55</v>
      </c>
      <c r="F40" s="26"/>
      <c r="G40" s="26"/>
      <c r="H40" s="26"/>
      <c r="I40" s="26"/>
      <c r="J40" s="26"/>
      <c r="K40" s="26"/>
      <c r="O40" s="26"/>
    </row>
    <row r="41" spans="1:15" ht="19.5" customHeight="1" x14ac:dyDescent="0.45">
      <c r="A41" s="41">
        <v>44169.794521458331</v>
      </c>
      <c r="B41" s="38">
        <v>17</v>
      </c>
      <c r="C41" s="35">
        <f t="shared" si="2"/>
        <v>33</v>
      </c>
      <c r="D41" s="35">
        <f t="shared" si="1"/>
        <v>4.7752117582517384</v>
      </c>
      <c r="E41" t="s">
        <v>56</v>
      </c>
      <c r="F41" s="26"/>
      <c r="G41" s="26"/>
      <c r="H41" s="26"/>
      <c r="I41" s="26"/>
      <c r="J41" s="26"/>
      <c r="K41" s="26"/>
      <c r="O41" s="26"/>
    </row>
    <row r="42" spans="1:15" ht="19.5" customHeight="1" x14ac:dyDescent="0.45">
      <c r="A42" s="41">
        <v>44169.79452152778</v>
      </c>
      <c r="B42" s="38">
        <v>17</v>
      </c>
      <c r="C42" s="35">
        <f t="shared" si="2"/>
        <v>34</v>
      </c>
      <c r="D42" s="35">
        <f t="shared" si="1"/>
        <v>21.17811995423817</v>
      </c>
      <c r="E42" t="s">
        <v>57</v>
      </c>
      <c r="F42" s="26"/>
      <c r="G42" s="26"/>
      <c r="H42" s="26"/>
      <c r="I42" s="26"/>
      <c r="J42" s="26"/>
      <c r="K42" s="26"/>
      <c r="O42" s="26"/>
    </row>
    <row r="43" spans="1:15" ht="19.5" customHeight="1" x14ac:dyDescent="0.45">
      <c r="A43" s="41">
        <v>44169.794521574076</v>
      </c>
      <c r="B43" s="38">
        <v>17</v>
      </c>
      <c r="C43" s="35">
        <f t="shared" si="2"/>
        <v>35</v>
      </c>
      <c r="D43" s="35">
        <f t="shared" si="1"/>
        <v>34.572486011823003</v>
      </c>
      <c r="E43" t="s">
        <v>58</v>
      </c>
      <c r="F43" s="26"/>
      <c r="G43" s="26"/>
      <c r="H43" s="26"/>
      <c r="I43" s="26"/>
      <c r="J43" s="26"/>
      <c r="K43" s="26"/>
      <c r="O43" s="26"/>
    </row>
    <row r="44" spans="1:15" ht="19.5" customHeight="1" x14ac:dyDescent="0.45">
      <c r="A44" s="41">
        <v>44169.794521666663</v>
      </c>
      <c r="B44" s="38">
        <v>17</v>
      </c>
      <c r="C44" s="35">
        <f t="shared" si="2"/>
        <v>36</v>
      </c>
      <c r="D44" s="35">
        <f t="shared" si="1"/>
        <v>17.977858733113667</v>
      </c>
      <c r="E44" t="s">
        <v>59</v>
      </c>
      <c r="F44" s="26"/>
      <c r="G44" s="26"/>
      <c r="H44" s="26"/>
      <c r="I44" s="26"/>
      <c r="J44" s="26"/>
      <c r="K44" s="26"/>
      <c r="O44" s="26"/>
    </row>
    <row r="45" spans="1:15" ht="19.5" customHeight="1" x14ac:dyDescent="0.45">
      <c r="A45" s="41">
        <v>44169.79452171296</v>
      </c>
      <c r="B45" s="38">
        <v>17</v>
      </c>
      <c r="C45" s="35">
        <f t="shared" si="2"/>
        <v>37</v>
      </c>
      <c r="D45" s="35">
        <f t="shared" si="1"/>
        <v>13.537990973266714</v>
      </c>
      <c r="E45" t="s">
        <v>60</v>
      </c>
      <c r="F45" s="26"/>
      <c r="G45" s="26"/>
      <c r="H45" s="26"/>
      <c r="I45" s="26"/>
      <c r="J45" s="26"/>
      <c r="K45" s="26"/>
      <c r="O45" s="26"/>
    </row>
    <row r="46" spans="1:15" ht="19.5" customHeight="1" x14ac:dyDescent="0.45">
      <c r="A46" s="41">
        <v>44169.794521805554</v>
      </c>
      <c r="B46" s="38">
        <v>16</v>
      </c>
      <c r="C46" s="35">
        <f t="shared" si="2"/>
        <v>38</v>
      </c>
      <c r="D46" s="35">
        <f t="shared" si="1"/>
        <v>10.46163453265903</v>
      </c>
      <c r="E46" t="s">
        <v>61</v>
      </c>
      <c r="F46" s="26"/>
      <c r="G46" s="26"/>
      <c r="H46" s="26"/>
      <c r="I46" s="26"/>
      <c r="J46" s="26"/>
      <c r="K46" s="26"/>
      <c r="O46" s="26"/>
    </row>
    <row r="47" spans="1:15" ht="19.5" customHeight="1" x14ac:dyDescent="0.45">
      <c r="A47" s="41">
        <v>44169.794521851851</v>
      </c>
      <c r="B47" s="38">
        <v>16</v>
      </c>
      <c r="C47" s="35">
        <f t="shared" si="2"/>
        <v>39</v>
      </c>
      <c r="D47" s="35">
        <f t="shared" si="1"/>
        <v>41.157226417199567</v>
      </c>
      <c r="E47" t="s">
        <v>62</v>
      </c>
      <c r="F47" s="26"/>
      <c r="G47" s="26"/>
      <c r="H47" s="26"/>
      <c r="I47" s="26"/>
      <c r="J47" s="26"/>
      <c r="K47" s="26"/>
      <c r="O47" s="26"/>
    </row>
    <row r="48" spans="1:15" ht="19.5" customHeight="1" x14ac:dyDescent="0.45">
      <c r="A48" s="41">
        <v>44169.794521956021</v>
      </c>
      <c r="B48" s="38">
        <v>17</v>
      </c>
      <c r="C48" s="35">
        <f t="shared" si="2"/>
        <v>40</v>
      </c>
      <c r="D48" s="35">
        <f t="shared" si="1"/>
        <v>47.782010127298413</v>
      </c>
      <c r="E48" t="s">
        <v>63</v>
      </c>
      <c r="F48" s="26"/>
      <c r="G48" s="26"/>
      <c r="H48" s="26"/>
      <c r="I48" s="26"/>
      <c r="J48" s="26"/>
      <c r="K48" s="26"/>
      <c r="O48" s="26"/>
    </row>
    <row r="49" spans="1:15" ht="19.5" customHeight="1" x14ac:dyDescent="0.45">
      <c r="A49" s="41">
        <v>44169.794522002318</v>
      </c>
      <c r="B49" s="38">
        <v>17</v>
      </c>
      <c r="C49" s="35">
        <f t="shared" si="2"/>
        <v>41</v>
      </c>
      <c r="D49" s="35">
        <f t="shared" si="1"/>
        <v>25.956851970456878</v>
      </c>
      <c r="E49" t="s">
        <v>64</v>
      </c>
      <c r="F49" s="26"/>
      <c r="G49" s="26"/>
      <c r="H49" s="26"/>
      <c r="I49" s="26"/>
      <c r="J49" s="26"/>
      <c r="K49" s="26"/>
      <c r="O49" s="26"/>
    </row>
    <row r="50" spans="1:15" ht="19.5" customHeight="1" x14ac:dyDescent="0.45">
      <c r="A50" s="41">
        <v>44169.794522094904</v>
      </c>
      <c r="B50" s="38">
        <v>16</v>
      </c>
      <c r="C50" s="35">
        <f t="shared" si="2"/>
        <v>42</v>
      </c>
      <c r="D50" s="35">
        <f t="shared" si="1"/>
        <v>19.014996291285382</v>
      </c>
      <c r="E50" t="s">
        <v>65</v>
      </c>
      <c r="F50" s="26"/>
      <c r="G50" s="26"/>
      <c r="H50" s="26"/>
      <c r="I50" s="26"/>
      <c r="J50" s="26"/>
      <c r="K50" s="26"/>
      <c r="O50" s="26"/>
    </row>
    <row r="51" spans="1:15" ht="19.5" customHeight="1" x14ac:dyDescent="0.45">
      <c r="A51" s="41">
        <v>44169.794522141201</v>
      </c>
      <c r="B51" s="39">
        <v>17</v>
      </c>
      <c r="C51" s="35">
        <f t="shared" si="2"/>
        <v>43</v>
      </c>
      <c r="D51" s="35">
        <f t="shared" si="1"/>
        <v>13.784093212152159</v>
      </c>
      <c r="E51" t="s">
        <v>66</v>
      </c>
      <c r="F51" s="26"/>
      <c r="G51" s="26"/>
      <c r="H51" s="26"/>
      <c r="I51" s="26"/>
      <c r="J51" s="26"/>
      <c r="K51" s="26"/>
      <c r="O51" s="26"/>
    </row>
    <row r="52" spans="1:15" ht="19.5" customHeight="1" x14ac:dyDescent="0.45">
      <c r="A52" s="41">
        <v>44169.794522233795</v>
      </c>
      <c r="B52" s="38">
        <v>17</v>
      </c>
      <c r="C52" s="35">
        <f t="shared" si="2"/>
        <v>44</v>
      </c>
      <c r="D52" s="35">
        <f t="shared" si="1"/>
        <v>49.635250272079304</v>
      </c>
      <c r="E52" t="s">
        <v>67</v>
      </c>
      <c r="F52" s="26"/>
      <c r="G52" s="26"/>
      <c r="H52" s="26"/>
      <c r="I52" s="26"/>
      <c r="J52" s="26"/>
      <c r="K52" s="26"/>
      <c r="O52" s="26"/>
    </row>
    <row r="53" spans="1:15" ht="19.5" customHeight="1" x14ac:dyDescent="0.45">
      <c r="A53" s="41">
        <v>44169.794522280092</v>
      </c>
      <c r="B53" s="38">
        <v>16</v>
      </c>
      <c r="C53" s="35">
        <f t="shared" si="2"/>
        <v>45</v>
      </c>
      <c r="D53" s="35">
        <f t="shared" si="1"/>
        <v>42.50208482877877</v>
      </c>
      <c r="E53" t="s">
        <v>68</v>
      </c>
      <c r="F53" s="26"/>
      <c r="G53" s="26"/>
      <c r="H53" s="26"/>
      <c r="I53" s="26"/>
      <c r="J53" s="26"/>
      <c r="K53" s="26"/>
      <c r="O53" s="26"/>
    </row>
    <row r="54" spans="1:15" ht="19.5" customHeight="1" x14ac:dyDescent="0.45">
      <c r="A54" s="41">
        <v>44169.794522384262</v>
      </c>
      <c r="B54" s="38">
        <v>17</v>
      </c>
      <c r="C54" s="35">
        <f t="shared" si="2"/>
        <v>46</v>
      </c>
      <c r="D54" s="35">
        <f t="shared" si="1"/>
        <v>24.537769032603009</v>
      </c>
      <c r="E54" t="s">
        <v>69</v>
      </c>
      <c r="F54" s="26"/>
      <c r="G54" s="26"/>
      <c r="H54" s="26"/>
      <c r="I54" s="26"/>
      <c r="J54" s="26"/>
      <c r="K54" s="26"/>
      <c r="O54" s="26"/>
    </row>
    <row r="55" spans="1:15" ht="19.5" customHeight="1" x14ac:dyDescent="0.45">
      <c r="A55" s="41">
        <v>44169.794522430559</v>
      </c>
      <c r="B55" s="38">
        <v>17</v>
      </c>
      <c r="C55" s="35">
        <f t="shared" si="2"/>
        <v>47</v>
      </c>
      <c r="D55" s="35">
        <f t="shared" si="1"/>
        <v>17.74060789834968</v>
      </c>
      <c r="E55" t="s">
        <v>70</v>
      </c>
      <c r="F55" s="26"/>
      <c r="G55" s="26"/>
      <c r="H55" s="26"/>
      <c r="I55" s="26"/>
      <c r="J55" s="26"/>
      <c r="K55" s="26"/>
      <c r="O55" s="26"/>
    </row>
    <row r="56" spans="1:15" ht="19.5" customHeight="1" x14ac:dyDescent="0.45">
      <c r="A56" s="41">
        <v>44169.794522523145</v>
      </c>
      <c r="B56" s="38">
        <v>17</v>
      </c>
      <c r="C56" s="35">
        <f t="shared" si="2"/>
        <v>48</v>
      </c>
      <c r="D56" s="35">
        <f t="shared" si="1"/>
        <v>12.360609029536112</v>
      </c>
      <c r="E56" t="s">
        <v>71</v>
      </c>
      <c r="F56" s="26"/>
      <c r="G56" s="26"/>
      <c r="H56" s="26"/>
      <c r="I56" s="26"/>
      <c r="J56" s="26"/>
      <c r="K56" s="26"/>
      <c r="O56" s="26"/>
    </row>
    <row r="57" spans="1:15" ht="19.5" customHeight="1" x14ac:dyDescent="0.45">
      <c r="A57" s="41">
        <v>44169.794522569442</v>
      </c>
      <c r="B57" s="38">
        <v>17</v>
      </c>
      <c r="C57" s="35">
        <f t="shared" si="2"/>
        <v>49</v>
      </c>
      <c r="D57" s="35">
        <f t="shared" si="1"/>
        <v>39.824723191317396</v>
      </c>
      <c r="E57" t="s">
        <v>72</v>
      </c>
      <c r="F57" s="26"/>
      <c r="G57" s="26"/>
      <c r="H57" s="26"/>
      <c r="I57" s="26"/>
      <c r="J57" s="26"/>
      <c r="K57" s="26"/>
      <c r="O57" s="26"/>
    </row>
    <row r="58" spans="1:15" ht="19.5" customHeight="1" x14ac:dyDescent="0.45">
      <c r="A58" s="41">
        <v>44169.794522662036</v>
      </c>
      <c r="B58" s="38">
        <v>17</v>
      </c>
      <c r="C58" s="35">
        <f t="shared" si="2"/>
        <v>50</v>
      </c>
      <c r="D58" s="35">
        <f t="shared" si="1"/>
        <v>24.704842545166347</v>
      </c>
      <c r="E58" t="s">
        <v>73</v>
      </c>
      <c r="F58" s="26"/>
      <c r="G58" s="26"/>
      <c r="H58" s="26"/>
      <c r="I58" s="26"/>
      <c r="J58" s="26"/>
      <c r="K58" s="26"/>
      <c r="O58" s="26"/>
    </row>
    <row r="59" spans="1:15" ht="19.5" customHeight="1" x14ac:dyDescent="0.45">
      <c r="A59" s="41">
        <v>44169.794522708333</v>
      </c>
      <c r="B59" s="38">
        <v>17</v>
      </c>
      <c r="C59" s="35">
        <f t="shared" si="2"/>
        <v>51</v>
      </c>
      <c r="D59" s="35">
        <f t="shared" si="1"/>
        <v>14.478242144325582</v>
      </c>
      <c r="E59" t="s">
        <v>74</v>
      </c>
      <c r="F59" s="26"/>
      <c r="G59" s="26"/>
      <c r="H59" s="26"/>
      <c r="I59" s="26"/>
      <c r="J59" s="26"/>
      <c r="K59" s="26"/>
      <c r="O59" s="26"/>
    </row>
    <row r="60" spans="1:15" ht="19.5" customHeight="1" x14ac:dyDescent="0.45">
      <c r="A60" s="41">
        <v>44169.794522800927</v>
      </c>
      <c r="B60" s="38">
        <v>17</v>
      </c>
      <c r="C60" s="35">
        <f t="shared" si="2"/>
        <v>52</v>
      </c>
      <c r="D60" s="35">
        <f t="shared" si="1"/>
        <v>9.9436210779075118</v>
      </c>
      <c r="E60" t="s">
        <v>75</v>
      </c>
      <c r="F60" s="26"/>
      <c r="G60" s="26"/>
      <c r="H60" s="26"/>
      <c r="I60" s="26"/>
      <c r="J60" s="26"/>
      <c r="K60" s="26"/>
      <c r="O60" s="26"/>
    </row>
    <row r="61" spans="1:15" ht="19.5" customHeight="1" x14ac:dyDescent="0.45">
      <c r="A61" s="41">
        <v>44169.794522847224</v>
      </c>
      <c r="B61" s="38">
        <v>17</v>
      </c>
      <c r="C61" s="35">
        <f t="shared" si="2"/>
        <v>53</v>
      </c>
      <c r="D61" s="35">
        <f t="shared" si="1"/>
        <v>6.2540516588808082</v>
      </c>
      <c r="E61" t="s">
        <v>76</v>
      </c>
      <c r="F61" s="26"/>
      <c r="G61" s="26"/>
      <c r="H61" s="26"/>
      <c r="I61" s="26"/>
      <c r="J61" s="26"/>
      <c r="K61" s="26"/>
      <c r="O61" s="26"/>
    </row>
    <row r="62" spans="1:15" ht="19.5" customHeight="1" x14ac:dyDescent="0.45">
      <c r="A62" s="41">
        <v>44169.794522951386</v>
      </c>
      <c r="B62" s="38">
        <v>17</v>
      </c>
      <c r="C62" s="35">
        <f t="shared" si="2"/>
        <v>54</v>
      </c>
      <c r="D62" s="35">
        <f t="shared" si="1"/>
        <v>15.608347433594899</v>
      </c>
      <c r="E62" t="s">
        <v>77</v>
      </c>
      <c r="F62" s="26"/>
      <c r="G62" s="26"/>
      <c r="H62" s="26"/>
      <c r="I62" s="26"/>
      <c r="J62" s="26"/>
      <c r="K62" s="26"/>
      <c r="O62" s="26"/>
    </row>
    <row r="63" spans="1:15" ht="19.5" customHeight="1" x14ac:dyDescent="0.45">
      <c r="A63" s="41">
        <v>44169.794522997683</v>
      </c>
      <c r="B63" s="38">
        <v>16</v>
      </c>
      <c r="C63" s="35">
        <f t="shared" si="2"/>
        <v>55</v>
      </c>
      <c r="D63" s="35">
        <f t="shared" si="1"/>
        <v>5.4872621237791428</v>
      </c>
      <c r="E63" t="s">
        <v>78</v>
      </c>
      <c r="F63" s="26"/>
      <c r="G63" s="26"/>
      <c r="H63" s="26"/>
      <c r="I63" s="26"/>
      <c r="J63" s="26"/>
      <c r="K63" s="26"/>
      <c r="O63" s="26"/>
    </row>
    <row r="64" spans="1:15" ht="19.5" customHeight="1" x14ac:dyDescent="0.45">
      <c r="A64" s="41">
        <v>44169.794523090277</v>
      </c>
      <c r="B64" s="38">
        <v>17</v>
      </c>
      <c r="C64" s="35">
        <f t="shared" si="2"/>
        <v>56</v>
      </c>
      <c r="D64" s="35">
        <f t="shared" si="1"/>
        <v>1.9770907781610032</v>
      </c>
      <c r="E64" t="s">
        <v>79</v>
      </c>
      <c r="F64" s="26"/>
      <c r="G64" s="26"/>
      <c r="H64" s="26"/>
      <c r="I64" s="26"/>
      <c r="J64" s="26"/>
      <c r="K64" s="26"/>
      <c r="O64" s="26"/>
    </row>
    <row r="65" spans="1:15" ht="19.5" customHeight="1" x14ac:dyDescent="0.45">
      <c r="A65" s="41">
        <v>44169.794523182871</v>
      </c>
      <c r="B65" s="38">
        <v>17</v>
      </c>
      <c r="C65" s="35">
        <f t="shared" si="2"/>
        <v>57</v>
      </c>
      <c r="D65" s="35">
        <f t="shared" si="1"/>
        <v>0.20304060122824319</v>
      </c>
      <c r="E65" t="s">
        <v>80</v>
      </c>
      <c r="F65" s="26"/>
      <c r="G65" s="26"/>
      <c r="H65" s="26"/>
      <c r="I65" s="26"/>
      <c r="J65" s="26"/>
      <c r="K65" s="26"/>
      <c r="O65" s="26"/>
    </row>
    <row r="66" spans="1:15" ht="19.5" customHeight="1" x14ac:dyDescent="0.45">
      <c r="A66" s="41">
        <v>44169.794523229168</v>
      </c>
      <c r="B66" s="38">
        <v>17</v>
      </c>
      <c r="C66" s="35">
        <f t="shared" si="2"/>
        <v>58</v>
      </c>
      <c r="D66" s="35">
        <f t="shared" si="1"/>
        <v>1.7535658139254706</v>
      </c>
      <c r="E66" t="s">
        <v>81</v>
      </c>
      <c r="F66" s="26"/>
      <c r="G66" s="26"/>
      <c r="H66" s="26"/>
      <c r="I66" s="26"/>
      <c r="J66" s="26"/>
      <c r="K66" s="26"/>
      <c r="O66" s="26"/>
    </row>
    <row r="67" spans="1:15" ht="19.5" customHeight="1" x14ac:dyDescent="0.45">
      <c r="A67" s="41">
        <v>44169.794523321762</v>
      </c>
      <c r="B67" s="38">
        <v>16</v>
      </c>
      <c r="C67" s="35">
        <f t="shared" si="2"/>
        <v>59</v>
      </c>
      <c r="D67" s="35">
        <f t="shared" si="1"/>
        <v>9.7858247724914378</v>
      </c>
      <c r="E67" t="s">
        <v>82</v>
      </c>
      <c r="F67" s="26"/>
      <c r="G67" s="26"/>
      <c r="H67" s="26"/>
      <c r="I67" s="26"/>
      <c r="J67" s="26"/>
      <c r="K67" s="26"/>
      <c r="O67" s="26"/>
    </row>
    <row r="68" spans="1:15" ht="19.5" customHeight="1" x14ac:dyDescent="0.45">
      <c r="A68" s="41">
        <v>44169.794523379627</v>
      </c>
      <c r="B68" s="39">
        <v>16</v>
      </c>
      <c r="C68" s="35">
        <f t="shared" si="2"/>
        <v>60</v>
      </c>
      <c r="D68" s="35">
        <f t="shared" si="1"/>
        <v>5.7917924813520072</v>
      </c>
      <c r="E68" t="s">
        <v>83</v>
      </c>
      <c r="F68" s="26"/>
      <c r="G68" s="26"/>
      <c r="H68" s="26"/>
      <c r="I68" s="26"/>
      <c r="J68" s="26"/>
      <c r="K68" s="26"/>
      <c r="O68" s="26"/>
    </row>
    <row r="69" spans="1:15" ht="19.5" customHeight="1" x14ac:dyDescent="0.45">
      <c r="A69" s="41">
        <v>44169.794523472221</v>
      </c>
      <c r="B69" s="38">
        <v>16</v>
      </c>
      <c r="C69" s="35">
        <f t="shared" si="2"/>
        <v>61</v>
      </c>
      <c r="D69" s="35">
        <f t="shared" si="1"/>
        <v>6.1640071547025004</v>
      </c>
      <c r="E69" t="s">
        <v>84</v>
      </c>
      <c r="F69" s="26"/>
      <c r="G69" s="26"/>
      <c r="H69" s="26"/>
      <c r="I69" s="26"/>
      <c r="J69" s="26"/>
      <c r="K69" s="26"/>
      <c r="O69" s="26"/>
    </row>
    <row r="70" spans="1:15" ht="19.5" customHeight="1" x14ac:dyDescent="0.45">
      <c r="A70" s="41">
        <v>44169.794523518518</v>
      </c>
      <c r="B70" s="38">
        <v>16</v>
      </c>
      <c r="C70" s="35">
        <f t="shared" si="2"/>
        <v>62</v>
      </c>
      <c r="D70" s="35">
        <f t="shared" si="1"/>
        <v>6.6151494833273441</v>
      </c>
      <c r="E70" t="s">
        <v>85</v>
      </c>
      <c r="F70" s="26"/>
      <c r="G70" s="26"/>
      <c r="H70" s="26"/>
      <c r="I70" s="26"/>
      <c r="J70" s="26"/>
      <c r="K70" s="26"/>
      <c r="O70" s="26"/>
    </row>
    <row r="71" spans="1:15" ht="19.5" customHeight="1" x14ac:dyDescent="0.45">
      <c r="A71" s="41">
        <v>44169.794523611112</v>
      </c>
      <c r="B71" s="38">
        <v>16</v>
      </c>
      <c r="C71" s="35">
        <f t="shared" si="2"/>
        <v>63</v>
      </c>
      <c r="D71" s="35">
        <f t="shared" si="1"/>
        <v>6.9457714956130046</v>
      </c>
      <c r="E71" t="s">
        <v>86</v>
      </c>
      <c r="F71" s="26"/>
      <c r="G71" s="26"/>
      <c r="H71" s="26"/>
      <c r="I71" s="26"/>
      <c r="J71" s="26"/>
      <c r="K71" s="26"/>
      <c r="O71" s="26"/>
    </row>
    <row r="72" spans="1:15" ht="19.5" customHeight="1" x14ac:dyDescent="0.45">
      <c r="A72" s="41">
        <v>44169.794523657409</v>
      </c>
      <c r="B72" s="38">
        <v>16</v>
      </c>
      <c r="C72" s="35">
        <f t="shared" si="2"/>
        <v>64</v>
      </c>
      <c r="D72" s="35">
        <f t="shared" si="1"/>
        <v>21.140424345407695</v>
      </c>
      <c r="E72" t="s">
        <v>87</v>
      </c>
      <c r="F72" s="26"/>
      <c r="G72" s="26"/>
      <c r="H72" s="26"/>
      <c r="I72" s="26"/>
      <c r="J72" s="26"/>
      <c r="K72" s="26"/>
      <c r="O72" s="26"/>
    </row>
    <row r="73" spans="1:15" ht="19.5" customHeight="1" x14ac:dyDescent="0.45">
      <c r="A73" s="41">
        <v>44169.794523750003</v>
      </c>
      <c r="B73" s="38">
        <v>17</v>
      </c>
      <c r="C73" s="35">
        <f t="shared" si="2"/>
        <v>65</v>
      </c>
      <c r="D73" s="35">
        <f t="shared" ref="D73:D136" si="3">(2/256)*IMABS(E73)</f>
        <v>6.7564695149002247</v>
      </c>
      <c r="E73" t="s">
        <v>88</v>
      </c>
      <c r="F73" s="26"/>
      <c r="G73" s="26"/>
      <c r="H73" s="26"/>
      <c r="I73" s="26"/>
      <c r="J73" s="26"/>
      <c r="K73" s="26"/>
      <c r="O73" s="26"/>
    </row>
    <row r="74" spans="1:15" ht="19.5" customHeight="1" x14ac:dyDescent="0.45">
      <c r="A74" s="41">
        <v>44169.794523796299</v>
      </c>
      <c r="B74" s="38">
        <v>17</v>
      </c>
      <c r="C74" s="35">
        <f t="shared" ref="C74:C137" si="4">(C73)+1</f>
        <v>66</v>
      </c>
      <c r="D74" s="35">
        <f t="shared" si="3"/>
        <v>6.3224195186281698</v>
      </c>
      <c r="E74" t="s">
        <v>89</v>
      </c>
      <c r="F74" s="26"/>
      <c r="G74" s="26"/>
      <c r="H74" s="26"/>
      <c r="I74" s="26"/>
      <c r="J74" s="26"/>
      <c r="K74" s="26"/>
      <c r="O74" s="26"/>
    </row>
    <row r="75" spans="1:15" ht="19.5" customHeight="1" x14ac:dyDescent="0.45">
      <c r="A75" s="41">
        <v>44169.794523888886</v>
      </c>
      <c r="B75" s="38">
        <v>17</v>
      </c>
      <c r="C75" s="35">
        <f t="shared" si="4"/>
        <v>67</v>
      </c>
      <c r="D75" s="35">
        <f t="shared" si="3"/>
        <v>5.7257310277293625</v>
      </c>
      <c r="E75" t="s">
        <v>90</v>
      </c>
      <c r="F75" s="26"/>
      <c r="G75" s="26"/>
      <c r="H75" s="26"/>
      <c r="I75" s="26"/>
      <c r="J75" s="26"/>
      <c r="K75" s="26"/>
      <c r="O75" s="26"/>
    </row>
    <row r="76" spans="1:15" ht="19.5" customHeight="1" x14ac:dyDescent="0.45">
      <c r="A76" s="41">
        <v>44169.794523946759</v>
      </c>
      <c r="B76" s="38">
        <v>16</v>
      </c>
      <c r="C76" s="35">
        <f t="shared" si="4"/>
        <v>68</v>
      </c>
      <c r="D76" s="35">
        <f t="shared" si="3"/>
        <v>5.2193161246782731</v>
      </c>
      <c r="E76" t="s">
        <v>91</v>
      </c>
      <c r="F76" s="26"/>
      <c r="G76" s="26"/>
      <c r="H76" s="26"/>
      <c r="I76" s="26"/>
      <c r="J76" s="26"/>
      <c r="K76" s="26"/>
      <c r="O76" s="26"/>
    </row>
    <row r="77" spans="1:15" ht="19.5" customHeight="1" x14ac:dyDescent="0.45">
      <c r="A77" s="41">
        <v>44169.794524039353</v>
      </c>
      <c r="B77" s="38">
        <v>17</v>
      </c>
      <c r="C77" s="35">
        <f t="shared" si="4"/>
        <v>69</v>
      </c>
      <c r="D77" s="35">
        <f t="shared" si="3"/>
        <v>10.412274730499547</v>
      </c>
      <c r="E77" t="s">
        <v>92</v>
      </c>
      <c r="F77" s="26"/>
      <c r="G77" s="26"/>
      <c r="H77" s="26"/>
      <c r="I77" s="26"/>
      <c r="J77" s="26"/>
      <c r="K77" s="26"/>
      <c r="O77" s="26"/>
    </row>
    <row r="78" spans="1:15" ht="19.5" customHeight="1" x14ac:dyDescent="0.45">
      <c r="A78" s="41">
        <v>44169.794524131947</v>
      </c>
      <c r="B78" s="38">
        <v>672</v>
      </c>
      <c r="C78" s="35">
        <f t="shared" si="4"/>
        <v>70</v>
      </c>
      <c r="D78" s="35">
        <f t="shared" si="3"/>
        <v>1.4560624191486411</v>
      </c>
      <c r="E78" t="s">
        <v>93</v>
      </c>
      <c r="F78" s="26"/>
      <c r="G78" s="26"/>
      <c r="H78" s="26"/>
      <c r="I78" s="26"/>
      <c r="J78" s="26"/>
      <c r="K78" s="26"/>
      <c r="O78" s="26"/>
    </row>
    <row r="79" spans="1:15" ht="19.5" customHeight="1" x14ac:dyDescent="0.45">
      <c r="A79" s="41">
        <v>44169.794524178244</v>
      </c>
      <c r="B79" s="38">
        <v>17</v>
      </c>
      <c r="C79" s="35">
        <f t="shared" si="4"/>
        <v>71</v>
      </c>
      <c r="D79" s="35">
        <f t="shared" si="3"/>
        <v>0.19417439548401397</v>
      </c>
      <c r="E79" t="s">
        <v>94</v>
      </c>
      <c r="F79" s="26"/>
      <c r="G79" s="26"/>
      <c r="H79" s="26"/>
      <c r="I79" s="26"/>
      <c r="J79" s="26"/>
      <c r="K79" s="26"/>
      <c r="O79" s="26"/>
    </row>
    <row r="80" spans="1:15" ht="19.5" customHeight="1" x14ac:dyDescent="0.45">
      <c r="A80" s="41">
        <v>44169.79452427083</v>
      </c>
      <c r="B80" s="38">
        <v>16</v>
      </c>
      <c r="C80" s="35">
        <f t="shared" si="4"/>
        <v>72</v>
      </c>
      <c r="D80" s="35">
        <f t="shared" si="3"/>
        <v>1.522293244979819</v>
      </c>
      <c r="E80" t="s">
        <v>95</v>
      </c>
      <c r="F80" s="26"/>
      <c r="G80" s="26"/>
      <c r="H80" s="26"/>
      <c r="I80" s="26"/>
      <c r="J80" s="26"/>
      <c r="K80" s="26"/>
      <c r="O80" s="26"/>
    </row>
    <row r="81" spans="1:15" ht="19.5" customHeight="1" x14ac:dyDescent="0.45">
      <c r="A81" s="41">
        <v>44169.794524317127</v>
      </c>
      <c r="B81" s="38">
        <v>17</v>
      </c>
      <c r="C81" s="35">
        <f t="shared" si="4"/>
        <v>73</v>
      </c>
      <c r="D81" s="35">
        <f t="shared" si="3"/>
        <v>4.4751862286695667</v>
      </c>
      <c r="E81" t="s">
        <v>96</v>
      </c>
      <c r="F81" s="26"/>
      <c r="G81" s="26"/>
      <c r="H81" s="26"/>
      <c r="I81" s="26"/>
      <c r="J81" s="26"/>
      <c r="K81" s="26"/>
      <c r="O81" s="26"/>
    </row>
    <row r="82" spans="1:15" ht="19.5" customHeight="1" x14ac:dyDescent="0.45">
      <c r="A82" s="41">
        <v>44169.794524421297</v>
      </c>
      <c r="B82" s="38">
        <v>17</v>
      </c>
      <c r="C82" s="35">
        <f t="shared" si="4"/>
        <v>74</v>
      </c>
      <c r="D82" s="35">
        <f t="shared" si="3"/>
        <v>17.513934866755449</v>
      </c>
      <c r="E82" t="s">
        <v>97</v>
      </c>
      <c r="F82" s="26"/>
      <c r="G82" s="26"/>
      <c r="H82" s="26"/>
      <c r="I82" s="26"/>
      <c r="J82" s="26"/>
      <c r="K82" s="26"/>
      <c r="O82" s="26"/>
    </row>
    <row r="83" spans="1:15" ht="19.5" customHeight="1" x14ac:dyDescent="0.45">
      <c r="A83" s="41">
        <v>44169.794524467594</v>
      </c>
      <c r="B83" s="38">
        <v>17</v>
      </c>
      <c r="C83" s="35">
        <f t="shared" si="4"/>
        <v>75</v>
      </c>
      <c r="D83" s="35">
        <f t="shared" si="3"/>
        <v>5.4894118865268178</v>
      </c>
      <c r="E83" t="s">
        <v>98</v>
      </c>
      <c r="F83" s="26"/>
      <c r="G83" s="26"/>
      <c r="H83" s="26"/>
      <c r="I83" s="26"/>
      <c r="J83" s="26"/>
      <c r="K83" s="26"/>
      <c r="O83" s="26"/>
    </row>
    <row r="84" spans="1:15" ht="19.5" customHeight="1" x14ac:dyDescent="0.45">
      <c r="A84" s="41">
        <v>44169.794524560188</v>
      </c>
      <c r="B84" s="38">
        <v>672</v>
      </c>
      <c r="C84" s="35">
        <f t="shared" si="4"/>
        <v>76</v>
      </c>
      <c r="D84" s="35">
        <f t="shared" si="3"/>
        <v>7.450074128969411</v>
      </c>
      <c r="E84" t="s">
        <v>99</v>
      </c>
      <c r="F84" s="26"/>
      <c r="G84" s="26"/>
      <c r="H84" s="26"/>
      <c r="I84" s="26"/>
      <c r="J84" s="26"/>
      <c r="K84" s="26"/>
      <c r="O84" s="26"/>
    </row>
    <row r="85" spans="1:15" ht="19.5" customHeight="1" x14ac:dyDescent="0.45">
      <c r="A85" s="41">
        <v>44169.794524606485</v>
      </c>
      <c r="B85" s="39">
        <v>17</v>
      </c>
      <c r="C85" s="35">
        <f t="shared" si="4"/>
        <v>77</v>
      </c>
      <c r="D85" s="35">
        <f t="shared" si="3"/>
        <v>10.450986706591092</v>
      </c>
      <c r="E85" t="s">
        <v>100</v>
      </c>
      <c r="F85" s="26"/>
      <c r="G85" s="26"/>
      <c r="H85" s="26"/>
      <c r="I85" s="26"/>
      <c r="J85" s="26"/>
      <c r="K85" s="26"/>
      <c r="O85" s="26"/>
    </row>
    <row r="86" spans="1:15" ht="19.5" customHeight="1" x14ac:dyDescent="0.45">
      <c r="A86" s="41">
        <v>44169.794524710647</v>
      </c>
      <c r="B86" s="38">
        <v>17</v>
      </c>
      <c r="C86" s="35">
        <f t="shared" si="4"/>
        <v>78</v>
      </c>
      <c r="D86" s="35">
        <f t="shared" si="3"/>
        <v>18.676104320645678</v>
      </c>
      <c r="E86" t="s">
        <v>101</v>
      </c>
      <c r="F86" s="26"/>
      <c r="G86" s="26"/>
      <c r="H86" s="26"/>
      <c r="I86" s="26"/>
      <c r="J86" s="26"/>
      <c r="K86" s="26"/>
      <c r="O86" s="26"/>
    </row>
    <row r="87" spans="1:15" ht="19.5" customHeight="1" x14ac:dyDescent="0.45">
      <c r="A87" s="41">
        <v>44169.794524745368</v>
      </c>
      <c r="B87" s="38">
        <v>17</v>
      </c>
      <c r="C87" s="35">
        <f t="shared" si="4"/>
        <v>79</v>
      </c>
      <c r="D87" s="35">
        <f t="shared" si="3"/>
        <v>47.693026631912069</v>
      </c>
      <c r="E87" t="s">
        <v>102</v>
      </c>
      <c r="F87" s="26"/>
      <c r="G87" s="26"/>
      <c r="H87" s="26"/>
      <c r="I87" s="26"/>
      <c r="J87" s="26"/>
      <c r="K87" s="26"/>
      <c r="O87" s="26"/>
    </row>
    <row r="88" spans="1:15" ht="19.5" customHeight="1" x14ac:dyDescent="0.45">
      <c r="A88" s="41">
        <v>44169.794524837962</v>
      </c>
      <c r="B88" s="38">
        <v>17</v>
      </c>
      <c r="C88" s="35">
        <f t="shared" si="4"/>
        <v>80</v>
      </c>
      <c r="D88" s="35">
        <f t="shared" si="3"/>
        <v>12.30782523714284</v>
      </c>
      <c r="E88" t="s">
        <v>103</v>
      </c>
      <c r="F88" s="26"/>
      <c r="G88" s="26"/>
      <c r="H88" s="26"/>
      <c r="I88" s="26"/>
      <c r="J88" s="26"/>
      <c r="K88" s="26"/>
      <c r="O88" s="26"/>
    </row>
    <row r="89" spans="1:15" ht="19.5" customHeight="1" x14ac:dyDescent="0.45">
      <c r="A89" s="41">
        <v>44169.794524942132</v>
      </c>
      <c r="B89" s="38">
        <v>16</v>
      </c>
      <c r="C89" s="35">
        <f t="shared" si="4"/>
        <v>81</v>
      </c>
      <c r="D89" s="35">
        <f t="shared" si="3"/>
        <v>12.462455620856971</v>
      </c>
      <c r="E89" t="s">
        <v>104</v>
      </c>
      <c r="F89" s="26"/>
      <c r="G89" s="26"/>
      <c r="H89" s="26"/>
      <c r="I89" s="26"/>
      <c r="J89" s="26"/>
      <c r="K89" s="26"/>
      <c r="O89" s="26"/>
    </row>
    <row r="90" spans="1:15" ht="19.5" customHeight="1" x14ac:dyDescent="0.45">
      <c r="A90" s="41">
        <v>44169.794524988429</v>
      </c>
      <c r="B90" s="38">
        <v>672</v>
      </c>
      <c r="C90" s="35">
        <f t="shared" si="4"/>
        <v>82</v>
      </c>
      <c r="D90" s="35">
        <f t="shared" si="3"/>
        <v>15.524374404160216</v>
      </c>
      <c r="E90" t="s">
        <v>105</v>
      </c>
      <c r="F90" s="26"/>
      <c r="G90" s="26"/>
      <c r="H90" s="26"/>
      <c r="I90" s="26"/>
      <c r="J90" s="26"/>
      <c r="K90" s="26"/>
      <c r="O90" s="26"/>
    </row>
    <row r="91" spans="1:15" ht="19.5" customHeight="1" x14ac:dyDescent="0.45">
      <c r="A91" s="41">
        <v>44169.794525081015</v>
      </c>
      <c r="B91" s="38">
        <v>17</v>
      </c>
      <c r="C91" s="35">
        <f t="shared" si="4"/>
        <v>83</v>
      </c>
      <c r="D91" s="35">
        <f t="shared" si="3"/>
        <v>30.300861739261926</v>
      </c>
      <c r="E91" t="s">
        <v>106</v>
      </c>
      <c r="F91" s="26"/>
      <c r="G91" s="26"/>
      <c r="H91" s="26"/>
      <c r="I91" s="26"/>
      <c r="J91" s="26"/>
      <c r="K91" s="26"/>
      <c r="O91" s="26"/>
    </row>
    <row r="92" spans="1:15" ht="19.5" customHeight="1" x14ac:dyDescent="0.45">
      <c r="A92" s="41">
        <v>44169.794525127312</v>
      </c>
      <c r="B92" s="38">
        <v>17</v>
      </c>
      <c r="C92" s="35">
        <f t="shared" si="4"/>
        <v>84</v>
      </c>
      <c r="D92" s="35">
        <f t="shared" si="3"/>
        <v>63.530818775401912</v>
      </c>
      <c r="E92" t="s">
        <v>107</v>
      </c>
      <c r="F92" s="26"/>
      <c r="G92" s="26"/>
      <c r="H92" s="26"/>
      <c r="I92" s="26"/>
      <c r="J92" s="26"/>
      <c r="K92" s="26"/>
      <c r="O92" s="26"/>
    </row>
    <row r="93" spans="1:15" ht="19.5" customHeight="1" x14ac:dyDescent="0.45">
      <c r="A93" s="41">
        <v>44169.794525219906</v>
      </c>
      <c r="B93" s="38">
        <v>17</v>
      </c>
      <c r="C93" s="35">
        <f t="shared" si="4"/>
        <v>85</v>
      </c>
      <c r="D93" s="35">
        <f t="shared" si="3"/>
        <v>17.700344298377942</v>
      </c>
      <c r="E93" t="s">
        <v>108</v>
      </c>
      <c r="F93" s="26"/>
      <c r="G93" s="26"/>
      <c r="H93" s="26"/>
      <c r="I93" s="26"/>
      <c r="J93" s="26"/>
      <c r="K93" s="26"/>
      <c r="O93" s="26"/>
    </row>
    <row r="94" spans="1:15" ht="19.5" customHeight="1" x14ac:dyDescent="0.45">
      <c r="A94" s="41">
        <v>44169.794525277779</v>
      </c>
      <c r="B94" s="38">
        <v>17</v>
      </c>
      <c r="C94" s="35">
        <f t="shared" si="4"/>
        <v>86</v>
      </c>
      <c r="D94" s="35">
        <f t="shared" si="3"/>
        <v>13.299130989800553</v>
      </c>
      <c r="E94" t="s">
        <v>109</v>
      </c>
      <c r="F94" s="26"/>
      <c r="G94" s="26"/>
      <c r="H94" s="26"/>
      <c r="I94" s="26"/>
      <c r="J94" s="26"/>
      <c r="K94" s="26"/>
      <c r="O94" s="26"/>
    </row>
    <row r="95" spans="1:15" ht="19.5" customHeight="1" x14ac:dyDescent="0.45">
      <c r="A95" s="41">
        <v>44169.794525358797</v>
      </c>
      <c r="B95" s="38">
        <v>16</v>
      </c>
      <c r="C95" s="35">
        <f t="shared" si="4"/>
        <v>87</v>
      </c>
      <c r="D95" s="35">
        <f t="shared" si="3"/>
        <v>14.275094452661255</v>
      </c>
      <c r="E95" t="s">
        <v>110</v>
      </c>
      <c r="F95" s="26"/>
      <c r="G95" s="26"/>
      <c r="H95" s="26"/>
      <c r="I95" s="26"/>
      <c r="J95" s="26"/>
      <c r="K95" s="26"/>
      <c r="O95" s="26"/>
    </row>
    <row r="96" spans="1:15" ht="19.5" customHeight="1" x14ac:dyDescent="0.45">
      <c r="A96" s="41">
        <v>44169.79452541667</v>
      </c>
      <c r="B96" s="38">
        <v>17</v>
      </c>
      <c r="C96" s="35">
        <f t="shared" si="4"/>
        <v>88</v>
      </c>
      <c r="D96" s="35">
        <f t="shared" si="3"/>
        <v>32.362393183386502</v>
      </c>
      <c r="E96" t="s">
        <v>111</v>
      </c>
      <c r="F96" s="26"/>
      <c r="G96" s="26"/>
      <c r="H96" s="26"/>
      <c r="I96" s="26"/>
      <c r="J96" s="26"/>
      <c r="K96" s="26"/>
      <c r="O96" s="26"/>
    </row>
    <row r="97" spans="1:15" ht="19.5" customHeight="1" x14ac:dyDescent="0.45">
      <c r="A97" s="41">
        <v>44169.794525509256</v>
      </c>
      <c r="B97" s="38">
        <v>17</v>
      </c>
      <c r="C97" s="35">
        <f t="shared" si="4"/>
        <v>89</v>
      </c>
      <c r="D97" s="35">
        <f t="shared" si="3"/>
        <v>56.628996712019408</v>
      </c>
      <c r="E97" t="s">
        <v>112</v>
      </c>
      <c r="F97" s="26"/>
      <c r="G97" s="26"/>
      <c r="H97" s="26"/>
      <c r="I97" s="26"/>
      <c r="J97" s="26"/>
      <c r="K97" s="26"/>
      <c r="O97" s="26"/>
    </row>
    <row r="98" spans="1:15" ht="19.5" customHeight="1" x14ac:dyDescent="0.45">
      <c r="A98" s="41">
        <v>44169.794525555553</v>
      </c>
      <c r="B98" s="38">
        <v>16</v>
      </c>
      <c r="C98" s="35">
        <f t="shared" si="4"/>
        <v>90</v>
      </c>
      <c r="D98" s="35">
        <f t="shared" si="3"/>
        <v>17.661305886103033</v>
      </c>
      <c r="E98" t="s">
        <v>113</v>
      </c>
      <c r="F98" s="26"/>
      <c r="G98" s="26"/>
      <c r="H98" s="26"/>
      <c r="I98" s="26"/>
      <c r="J98" s="26"/>
      <c r="K98" s="26"/>
      <c r="O98" s="26"/>
    </row>
    <row r="99" spans="1:15" ht="19.5" customHeight="1" x14ac:dyDescent="0.45">
      <c r="A99" s="41">
        <v>44169.794525648147</v>
      </c>
      <c r="B99" s="38">
        <v>17</v>
      </c>
      <c r="C99" s="35">
        <f t="shared" si="4"/>
        <v>91</v>
      </c>
      <c r="D99" s="35">
        <f t="shared" si="3"/>
        <v>10.656738562816246</v>
      </c>
      <c r="E99" t="s">
        <v>114</v>
      </c>
      <c r="F99" s="26"/>
      <c r="G99" s="26"/>
      <c r="H99" s="26"/>
      <c r="I99" s="26"/>
      <c r="J99" s="26"/>
      <c r="K99" s="26"/>
      <c r="O99" s="26"/>
    </row>
    <row r="100" spans="1:15" ht="19.5" customHeight="1" x14ac:dyDescent="0.45">
      <c r="A100" s="41">
        <v>44169.794525694444</v>
      </c>
      <c r="B100" s="38">
        <v>17</v>
      </c>
      <c r="C100" s="35">
        <f t="shared" si="4"/>
        <v>92</v>
      </c>
      <c r="D100" s="35">
        <f t="shared" si="3"/>
        <v>8.6716253709437439</v>
      </c>
      <c r="E100" t="s">
        <v>115</v>
      </c>
      <c r="F100" s="26"/>
      <c r="G100" s="26"/>
      <c r="H100" s="26"/>
      <c r="I100" s="26"/>
      <c r="J100" s="26"/>
      <c r="K100" s="26"/>
      <c r="O100" s="26"/>
    </row>
    <row r="101" spans="1:15" ht="19.5" customHeight="1" x14ac:dyDescent="0.45">
      <c r="A101" s="41">
        <v>44169.794525787038</v>
      </c>
      <c r="B101" s="39">
        <v>16</v>
      </c>
      <c r="C101" s="35">
        <f t="shared" si="4"/>
        <v>93</v>
      </c>
      <c r="D101" s="35">
        <f t="shared" si="3"/>
        <v>22.636369524107465</v>
      </c>
      <c r="E101" t="s">
        <v>116</v>
      </c>
      <c r="F101" s="26"/>
      <c r="G101" s="26"/>
      <c r="H101" s="26"/>
      <c r="I101" s="26"/>
      <c r="J101" s="26"/>
      <c r="K101" s="26"/>
      <c r="O101" s="26"/>
    </row>
    <row r="102" spans="1:15" ht="19.5" customHeight="1" x14ac:dyDescent="0.45">
      <c r="A102" s="41">
        <v>44169.794525879632</v>
      </c>
      <c r="B102" s="38">
        <v>16</v>
      </c>
      <c r="C102" s="35">
        <f t="shared" si="4"/>
        <v>94</v>
      </c>
      <c r="D102" s="35">
        <f t="shared" si="3"/>
        <v>31.754220844781141</v>
      </c>
      <c r="E102" t="s">
        <v>117</v>
      </c>
      <c r="F102" s="26"/>
      <c r="G102" s="26"/>
      <c r="H102" s="26"/>
      <c r="I102" s="26"/>
      <c r="J102" s="26"/>
      <c r="K102" s="26"/>
      <c r="O102" s="26"/>
    </row>
    <row r="103" spans="1:15" ht="19.5" customHeight="1" x14ac:dyDescent="0.45">
      <c r="A103" s="41">
        <v>44169.794525937497</v>
      </c>
      <c r="B103" s="38">
        <v>17</v>
      </c>
      <c r="C103" s="35">
        <f t="shared" si="4"/>
        <v>95</v>
      </c>
      <c r="D103" s="35">
        <f t="shared" si="3"/>
        <v>10.307811825024601</v>
      </c>
      <c r="E103" t="s">
        <v>118</v>
      </c>
      <c r="F103" s="26"/>
      <c r="G103" s="26"/>
      <c r="H103" s="26"/>
      <c r="I103" s="26"/>
      <c r="J103" s="26"/>
      <c r="K103" s="26"/>
      <c r="O103" s="26"/>
    </row>
    <row r="104" spans="1:15" ht="19.5" customHeight="1" x14ac:dyDescent="0.45">
      <c r="A104" s="41">
        <v>44169.794526030091</v>
      </c>
      <c r="B104" s="38">
        <v>16</v>
      </c>
      <c r="C104" s="35">
        <f t="shared" si="4"/>
        <v>96</v>
      </c>
      <c r="D104" s="35">
        <f t="shared" si="3"/>
        <v>5.1489928917519174</v>
      </c>
      <c r="E104" t="s">
        <v>119</v>
      </c>
      <c r="F104" s="26"/>
      <c r="G104" s="26"/>
      <c r="H104" s="26"/>
      <c r="I104" s="26"/>
      <c r="J104" s="26"/>
      <c r="K104" s="26"/>
      <c r="O104" s="26"/>
    </row>
    <row r="105" spans="1:15" ht="19.5" customHeight="1" x14ac:dyDescent="0.45">
      <c r="A105" s="41">
        <v>44169.794526076388</v>
      </c>
      <c r="B105" s="38">
        <v>17</v>
      </c>
      <c r="C105" s="35">
        <f t="shared" si="4"/>
        <v>97</v>
      </c>
      <c r="D105" s="35">
        <f t="shared" si="3"/>
        <v>2.566743046540124</v>
      </c>
      <c r="E105" t="s">
        <v>120</v>
      </c>
      <c r="F105" s="26"/>
      <c r="G105" s="26"/>
      <c r="H105" s="26"/>
      <c r="I105" s="26"/>
      <c r="J105" s="26"/>
      <c r="K105" s="26"/>
      <c r="O105" s="26"/>
    </row>
    <row r="106" spans="1:15" ht="19.5" customHeight="1" x14ac:dyDescent="0.45">
      <c r="A106" s="41">
        <v>44169.794526168982</v>
      </c>
      <c r="B106" s="38">
        <v>17</v>
      </c>
      <c r="C106" s="35">
        <f t="shared" si="4"/>
        <v>98</v>
      </c>
      <c r="D106" s="35">
        <f t="shared" si="3"/>
        <v>5.4225770707497762</v>
      </c>
      <c r="E106" t="s">
        <v>121</v>
      </c>
      <c r="F106" s="26"/>
      <c r="G106" s="26"/>
      <c r="H106" s="26"/>
      <c r="I106" s="26"/>
      <c r="J106" s="26"/>
      <c r="K106" s="26"/>
      <c r="O106" s="26"/>
    </row>
    <row r="107" spans="1:15" ht="19.5" customHeight="1" x14ac:dyDescent="0.45">
      <c r="A107" s="41">
        <v>44169.794526215279</v>
      </c>
      <c r="B107" s="38">
        <v>16</v>
      </c>
      <c r="C107" s="35">
        <f t="shared" si="4"/>
        <v>99</v>
      </c>
      <c r="D107" s="35">
        <f t="shared" si="3"/>
        <v>2.8092989158488701</v>
      </c>
      <c r="E107" t="s">
        <v>122</v>
      </c>
      <c r="F107" s="26"/>
      <c r="G107" s="26"/>
      <c r="H107" s="26"/>
      <c r="I107" s="26"/>
      <c r="J107" s="26"/>
      <c r="K107" s="26"/>
      <c r="O107" s="26"/>
    </row>
    <row r="108" spans="1:15" ht="19.5" customHeight="1" x14ac:dyDescent="0.45">
      <c r="A108" s="41">
        <v>44169.794526307873</v>
      </c>
      <c r="B108" s="38">
        <v>17</v>
      </c>
      <c r="C108" s="35">
        <f t="shared" si="4"/>
        <v>100</v>
      </c>
      <c r="D108" s="35">
        <f t="shared" si="3"/>
        <v>0.99946149851382105</v>
      </c>
      <c r="E108" t="s">
        <v>123</v>
      </c>
      <c r="F108" s="26"/>
      <c r="G108" s="26"/>
      <c r="H108" s="26"/>
      <c r="I108" s="26"/>
      <c r="J108" s="26"/>
      <c r="K108" s="26"/>
      <c r="O108" s="26"/>
    </row>
    <row r="109" spans="1:15" ht="19.5" customHeight="1" x14ac:dyDescent="0.45">
      <c r="A109" s="41">
        <v>44169.794526365738</v>
      </c>
      <c r="B109" s="38">
        <v>17</v>
      </c>
      <c r="C109" s="35">
        <f t="shared" si="4"/>
        <v>101</v>
      </c>
      <c r="D109" s="35">
        <f t="shared" si="3"/>
        <v>2.0883395531757456</v>
      </c>
      <c r="E109" t="s">
        <v>124</v>
      </c>
      <c r="F109" s="26"/>
      <c r="G109" s="26"/>
      <c r="H109" s="26"/>
      <c r="I109" s="26"/>
      <c r="J109" s="26"/>
      <c r="K109" s="26"/>
      <c r="O109" s="26"/>
    </row>
    <row r="110" spans="1:15" ht="19.5" customHeight="1" x14ac:dyDescent="0.45">
      <c r="A110" s="41">
        <v>44169.794526458332</v>
      </c>
      <c r="B110" s="38">
        <v>17</v>
      </c>
      <c r="C110" s="35">
        <f t="shared" si="4"/>
        <v>102</v>
      </c>
      <c r="D110" s="35">
        <f t="shared" si="3"/>
        <v>1.8703420796267181</v>
      </c>
      <c r="E110" t="s">
        <v>125</v>
      </c>
      <c r="F110" s="26"/>
      <c r="G110" s="26"/>
      <c r="H110" s="26"/>
      <c r="I110" s="26"/>
      <c r="J110" s="26"/>
      <c r="K110" s="26"/>
      <c r="O110" s="26"/>
    </row>
    <row r="111" spans="1:15" ht="19.5" customHeight="1" x14ac:dyDescent="0.45">
      <c r="A111" s="41">
        <v>44169.794526504629</v>
      </c>
      <c r="B111" s="38">
        <v>17</v>
      </c>
      <c r="C111" s="35">
        <f t="shared" si="4"/>
        <v>103</v>
      </c>
      <c r="D111" s="35">
        <f t="shared" si="3"/>
        <v>9.7832090785811392</v>
      </c>
      <c r="E111" t="s">
        <v>126</v>
      </c>
      <c r="F111" s="26"/>
      <c r="G111" s="26"/>
      <c r="H111" s="26"/>
      <c r="I111" s="26"/>
      <c r="J111" s="26"/>
      <c r="K111" s="26"/>
      <c r="O111" s="26"/>
    </row>
    <row r="112" spans="1:15" ht="19.5" customHeight="1" x14ac:dyDescent="0.45">
      <c r="A112" s="41">
        <v>44169.794526597223</v>
      </c>
      <c r="B112" s="38">
        <v>17</v>
      </c>
      <c r="C112" s="35">
        <f t="shared" si="4"/>
        <v>104</v>
      </c>
      <c r="D112" s="35">
        <f t="shared" si="3"/>
        <v>15.10128441105763</v>
      </c>
      <c r="E112" t="s">
        <v>127</v>
      </c>
      <c r="F112" s="26"/>
      <c r="G112" s="26"/>
      <c r="H112" s="26"/>
      <c r="I112" s="26"/>
      <c r="J112" s="26"/>
      <c r="K112" s="26"/>
      <c r="O112" s="26"/>
    </row>
    <row r="113" spans="1:15" ht="19.5" customHeight="1" x14ac:dyDescent="0.45">
      <c r="A113" s="41">
        <v>44169.79452664352</v>
      </c>
      <c r="B113" s="38">
        <v>17</v>
      </c>
      <c r="C113" s="35">
        <f t="shared" si="4"/>
        <v>105</v>
      </c>
      <c r="D113" s="35">
        <f t="shared" si="3"/>
        <v>9.1084996564086946</v>
      </c>
      <c r="E113" t="s">
        <v>128</v>
      </c>
      <c r="F113" s="26"/>
      <c r="G113" s="26"/>
      <c r="H113" s="26"/>
      <c r="I113" s="26"/>
      <c r="J113" s="26"/>
      <c r="K113" s="26"/>
      <c r="O113" s="26"/>
    </row>
    <row r="114" spans="1:15" ht="19.5" customHeight="1" x14ac:dyDescent="0.45">
      <c r="A114" s="41">
        <v>44169.794526736114</v>
      </c>
      <c r="B114" s="38">
        <v>17</v>
      </c>
      <c r="C114" s="35">
        <f t="shared" si="4"/>
        <v>106</v>
      </c>
      <c r="D114" s="35">
        <f t="shared" si="3"/>
        <v>6.8094110800750354</v>
      </c>
      <c r="E114" t="s">
        <v>129</v>
      </c>
      <c r="F114" s="26"/>
      <c r="G114" s="26"/>
      <c r="H114" s="26"/>
      <c r="I114" s="26"/>
      <c r="J114" s="26"/>
      <c r="K114" s="26"/>
      <c r="O114" s="26"/>
    </row>
    <row r="115" spans="1:15" ht="19.5" customHeight="1" x14ac:dyDescent="0.45">
      <c r="A115" s="41">
        <v>44169.794526782411</v>
      </c>
      <c r="B115" s="38">
        <v>17</v>
      </c>
      <c r="C115" s="35">
        <f t="shared" si="4"/>
        <v>107</v>
      </c>
      <c r="D115" s="35">
        <f t="shared" si="3"/>
        <v>3.9855467356750292</v>
      </c>
      <c r="E115" t="s">
        <v>130</v>
      </c>
      <c r="F115" s="26"/>
      <c r="G115" s="26"/>
      <c r="H115" s="26"/>
      <c r="I115" s="26"/>
      <c r="J115" s="26"/>
      <c r="K115" s="26"/>
      <c r="O115" s="26"/>
    </row>
    <row r="116" spans="1:15" ht="19.5" customHeight="1" x14ac:dyDescent="0.45">
      <c r="A116" s="41">
        <v>44169.794526886573</v>
      </c>
      <c r="B116" s="39">
        <v>17</v>
      </c>
      <c r="C116" s="35">
        <f t="shared" si="4"/>
        <v>108</v>
      </c>
      <c r="D116" s="35">
        <f t="shared" si="3"/>
        <v>13.687034218932405</v>
      </c>
      <c r="E116" t="s">
        <v>131</v>
      </c>
      <c r="F116" s="26"/>
      <c r="G116" s="26"/>
      <c r="H116" s="26"/>
      <c r="I116" s="26"/>
      <c r="J116" s="26"/>
      <c r="K116" s="26"/>
      <c r="O116" s="26"/>
    </row>
    <row r="117" spans="1:15" ht="19.5" customHeight="1" x14ac:dyDescent="0.45">
      <c r="A117" s="41">
        <v>44169.79452693287</v>
      </c>
      <c r="B117" s="38">
        <v>16</v>
      </c>
      <c r="C117" s="35">
        <f t="shared" si="4"/>
        <v>109</v>
      </c>
      <c r="D117" s="35">
        <f t="shared" si="3"/>
        <v>14.544476951160632</v>
      </c>
      <c r="E117" t="s">
        <v>132</v>
      </c>
      <c r="F117" s="26"/>
      <c r="G117" s="26"/>
      <c r="H117" s="26"/>
      <c r="I117" s="26"/>
      <c r="J117" s="26"/>
      <c r="K117" s="26"/>
      <c r="O117" s="26"/>
    </row>
    <row r="118" spans="1:15" ht="19.5" customHeight="1" x14ac:dyDescent="0.45">
      <c r="A118" s="41">
        <v>44169.794527025464</v>
      </c>
      <c r="B118" s="38">
        <v>16</v>
      </c>
      <c r="C118" s="35">
        <f t="shared" si="4"/>
        <v>110</v>
      </c>
      <c r="D118" s="35">
        <f t="shared" si="3"/>
        <v>7.8159089751055753</v>
      </c>
      <c r="E118" t="s">
        <v>133</v>
      </c>
      <c r="F118" s="26"/>
      <c r="G118" s="26"/>
      <c r="H118" s="26"/>
      <c r="I118" s="26"/>
      <c r="J118" s="26"/>
      <c r="K118" s="26"/>
      <c r="O118" s="26"/>
    </row>
    <row r="119" spans="1:15" ht="19.5" customHeight="1" x14ac:dyDescent="0.45">
      <c r="A119" s="41">
        <v>44169.794527071761</v>
      </c>
      <c r="B119" s="38">
        <v>16</v>
      </c>
      <c r="C119" s="35">
        <f t="shared" si="4"/>
        <v>111</v>
      </c>
      <c r="D119" s="35">
        <f t="shared" si="3"/>
        <v>4.7217703239723718</v>
      </c>
      <c r="E119" t="s">
        <v>134</v>
      </c>
      <c r="F119" s="26"/>
      <c r="G119" s="26"/>
      <c r="H119" s="26"/>
      <c r="I119" s="26"/>
      <c r="J119" s="26"/>
      <c r="K119" s="26"/>
      <c r="O119" s="26"/>
    </row>
    <row r="120" spans="1:15" ht="19.5" customHeight="1" x14ac:dyDescent="0.45">
      <c r="A120" s="41">
        <v>44169.794527164355</v>
      </c>
      <c r="B120" s="38">
        <v>16</v>
      </c>
      <c r="C120" s="35">
        <f t="shared" si="4"/>
        <v>112</v>
      </c>
      <c r="D120" s="35">
        <f t="shared" si="3"/>
        <v>2.1070726557804274</v>
      </c>
      <c r="E120" t="s">
        <v>135</v>
      </c>
      <c r="F120" s="26"/>
      <c r="G120" s="26"/>
      <c r="H120" s="26"/>
      <c r="I120" s="26"/>
      <c r="J120" s="26"/>
      <c r="K120" s="26"/>
      <c r="O120" s="26"/>
    </row>
    <row r="121" spans="1:15" ht="19.5" customHeight="1" x14ac:dyDescent="0.45">
      <c r="A121" s="41">
        <v>44169.79452722222</v>
      </c>
      <c r="B121" s="38">
        <v>17</v>
      </c>
      <c r="C121" s="35">
        <f t="shared" si="4"/>
        <v>113</v>
      </c>
      <c r="D121" s="35">
        <f t="shared" si="3"/>
        <v>2.8404774790016325</v>
      </c>
      <c r="E121" t="s">
        <v>136</v>
      </c>
      <c r="F121" s="26"/>
      <c r="G121" s="26"/>
      <c r="H121" s="26"/>
      <c r="I121" s="26"/>
      <c r="J121" s="26"/>
      <c r="K121" s="26"/>
      <c r="O121" s="26"/>
    </row>
    <row r="122" spans="1:15" ht="19.5" customHeight="1" x14ac:dyDescent="0.45">
      <c r="A122" s="41">
        <v>44169.794527303238</v>
      </c>
      <c r="B122" s="38">
        <v>17</v>
      </c>
      <c r="C122" s="35">
        <f t="shared" si="4"/>
        <v>114</v>
      </c>
      <c r="D122" s="35">
        <f t="shared" si="3"/>
        <v>0.86595996394741814</v>
      </c>
      <c r="E122" t="s">
        <v>137</v>
      </c>
      <c r="F122" s="26"/>
      <c r="G122" s="26"/>
      <c r="H122" s="26"/>
      <c r="I122" s="26"/>
      <c r="J122" s="26"/>
      <c r="K122" s="26"/>
      <c r="O122" s="26"/>
    </row>
    <row r="123" spans="1:15" ht="19.5" customHeight="1" x14ac:dyDescent="0.45">
      <c r="A123" s="41">
        <v>44169.794527372687</v>
      </c>
      <c r="B123" s="38">
        <v>17</v>
      </c>
      <c r="C123" s="35">
        <f t="shared" si="4"/>
        <v>115</v>
      </c>
      <c r="D123" s="35">
        <f t="shared" si="3"/>
        <v>3.4438386590782883</v>
      </c>
      <c r="E123" t="s">
        <v>138</v>
      </c>
      <c r="F123" s="26"/>
      <c r="G123" s="26"/>
      <c r="H123" s="26"/>
      <c r="I123" s="26"/>
      <c r="J123" s="26"/>
      <c r="K123" s="26"/>
      <c r="O123" s="26"/>
    </row>
    <row r="124" spans="1:15" ht="19.5" customHeight="1" x14ac:dyDescent="0.45">
      <c r="A124" s="41">
        <v>44169.794527453705</v>
      </c>
      <c r="B124" s="38">
        <v>16</v>
      </c>
      <c r="C124" s="35">
        <f t="shared" si="4"/>
        <v>116</v>
      </c>
      <c r="D124" s="35">
        <f t="shared" si="3"/>
        <v>5.3182226683899918</v>
      </c>
      <c r="E124" t="s">
        <v>139</v>
      </c>
      <c r="F124" s="26"/>
      <c r="G124" s="26"/>
      <c r="H124" s="26"/>
      <c r="I124" s="26"/>
      <c r="J124" s="26"/>
      <c r="K124" s="26"/>
      <c r="O124" s="26"/>
    </row>
    <row r="125" spans="1:15" ht="19.5" customHeight="1" x14ac:dyDescent="0.45">
      <c r="A125" s="41">
        <v>44169.794527557868</v>
      </c>
      <c r="B125" s="38">
        <v>17</v>
      </c>
      <c r="C125" s="35">
        <f t="shared" si="4"/>
        <v>117</v>
      </c>
      <c r="D125" s="35">
        <f t="shared" si="3"/>
        <v>6.0379471418593065</v>
      </c>
      <c r="E125" t="s">
        <v>140</v>
      </c>
      <c r="F125" s="26"/>
      <c r="G125" s="26"/>
      <c r="H125" s="26"/>
      <c r="I125" s="26"/>
      <c r="J125" s="26"/>
      <c r="K125" s="26"/>
      <c r="O125" s="26"/>
    </row>
    <row r="126" spans="1:15" ht="19.5" customHeight="1" x14ac:dyDescent="0.45">
      <c r="A126" s="41">
        <v>44169.794527592596</v>
      </c>
      <c r="B126" s="38">
        <v>17</v>
      </c>
      <c r="C126" s="35">
        <f t="shared" si="4"/>
        <v>118</v>
      </c>
      <c r="D126" s="35">
        <f t="shared" si="3"/>
        <v>18.051847122024508</v>
      </c>
      <c r="E126" t="s">
        <v>141</v>
      </c>
      <c r="F126" s="26"/>
      <c r="G126" s="26"/>
      <c r="H126" s="26"/>
      <c r="I126" s="26"/>
      <c r="J126" s="26"/>
      <c r="K126" s="26"/>
      <c r="O126" s="26"/>
    </row>
    <row r="127" spans="1:15" ht="19.5" customHeight="1" x14ac:dyDescent="0.45">
      <c r="A127" s="41">
        <v>44169.794527685182</v>
      </c>
      <c r="B127" s="38">
        <v>17</v>
      </c>
      <c r="C127" s="35">
        <f t="shared" si="4"/>
        <v>119</v>
      </c>
      <c r="D127" s="35">
        <f t="shared" si="3"/>
        <v>19.772459347341975</v>
      </c>
      <c r="E127" t="s">
        <v>142</v>
      </c>
      <c r="F127" s="26"/>
      <c r="G127" s="26"/>
      <c r="H127" s="26"/>
      <c r="I127" s="26"/>
      <c r="J127" s="26"/>
      <c r="K127" s="26"/>
      <c r="O127" s="26"/>
    </row>
    <row r="128" spans="1:15" ht="19.5" customHeight="1" x14ac:dyDescent="0.45">
      <c r="A128" s="41">
        <v>44169.794527731479</v>
      </c>
      <c r="B128" s="38">
        <v>17</v>
      </c>
      <c r="C128" s="35">
        <f t="shared" si="4"/>
        <v>120</v>
      </c>
      <c r="D128" s="35">
        <f t="shared" si="3"/>
        <v>18.75833136289539</v>
      </c>
      <c r="E128" t="s">
        <v>143</v>
      </c>
      <c r="F128" s="26"/>
      <c r="G128" s="26"/>
      <c r="H128" s="26"/>
      <c r="I128" s="26"/>
      <c r="J128" s="26"/>
      <c r="K128" s="26"/>
      <c r="O128" s="26"/>
    </row>
    <row r="129" spans="1:15" ht="19.5" customHeight="1" x14ac:dyDescent="0.45">
      <c r="A129" s="41">
        <v>44169.794527824073</v>
      </c>
      <c r="B129" s="38">
        <v>17</v>
      </c>
      <c r="C129" s="35">
        <f t="shared" si="4"/>
        <v>121</v>
      </c>
      <c r="D129" s="35">
        <f t="shared" si="3"/>
        <v>19.202616768004951</v>
      </c>
      <c r="E129" t="s">
        <v>144</v>
      </c>
      <c r="F129" s="26"/>
      <c r="G129" s="26"/>
      <c r="H129" s="26"/>
      <c r="I129" s="26"/>
      <c r="J129" s="26"/>
      <c r="K129" s="26"/>
      <c r="O129" s="26"/>
    </row>
    <row r="130" spans="1:15" ht="19.5" customHeight="1" x14ac:dyDescent="0.45">
      <c r="A130" s="41">
        <v>44169.794527881946</v>
      </c>
      <c r="B130" s="38">
        <v>672</v>
      </c>
      <c r="C130" s="35">
        <f t="shared" si="4"/>
        <v>122</v>
      </c>
      <c r="D130" s="35">
        <f t="shared" si="3"/>
        <v>18.583348305285234</v>
      </c>
      <c r="E130" t="s">
        <v>145</v>
      </c>
      <c r="F130" s="26"/>
      <c r="G130" s="26"/>
      <c r="H130" s="26"/>
      <c r="I130" s="26"/>
      <c r="J130" s="26"/>
      <c r="K130" s="26"/>
      <c r="O130" s="26"/>
    </row>
    <row r="131" spans="1:15" ht="19.5" customHeight="1" x14ac:dyDescent="0.45">
      <c r="A131" s="41">
        <v>44169.79452797454</v>
      </c>
      <c r="B131" s="39">
        <v>17</v>
      </c>
      <c r="C131" s="35">
        <f t="shared" si="4"/>
        <v>123</v>
      </c>
      <c r="D131" s="35">
        <f t="shared" si="3"/>
        <v>37.928875556483355</v>
      </c>
      <c r="E131" t="s">
        <v>146</v>
      </c>
      <c r="F131" s="26"/>
      <c r="G131" s="26"/>
      <c r="H131" s="26"/>
      <c r="I131" s="26"/>
      <c r="J131" s="26"/>
      <c r="K131" s="26"/>
      <c r="O131" s="26"/>
    </row>
    <row r="132" spans="1:15" ht="19.5" customHeight="1" x14ac:dyDescent="0.45">
      <c r="A132" s="41">
        <v>44169.794528020837</v>
      </c>
      <c r="B132" s="38">
        <v>16</v>
      </c>
      <c r="C132" s="35">
        <f t="shared" si="4"/>
        <v>124</v>
      </c>
      <c r="D132" s="35">
        <f t="shared" si="3"/>
        <v>30.893240243015807</v>
      </c>
      <c r="E132" t="s">
        <v>147</v>
      </c>
      <c r="F132" s="26"/>
      <c r="G132" s="26"/>
      <c r="H132" s="26"/>
      <c r="I132" s="26"/>
      <c r="J132" s="26"/>
      <c r="K132" s="26"/>
      <c r="O132" s="26"/>
    </row>
    <row r="133" spans="1:15" ht="19.5" customHeight="1" x14ac:dyDescent="0.45">
      <c r="A133" s="41">
        <v>44169.794528113423</v>
      </c>
      <c r="B133" s="38">
        <v>17</v>
      </c>
      <c r="C133" s="35">
        <f t="shared" si="4"/>
        <v>125</v>
      </c>
      <c r="D133" s="35">
        <f t="shared" si="3"/>
        <v>29.389615760255133</v>
      </c>
      <c r="E133" t="s">
        <v>148</v>
      </c>
      <c r="F133" s="26"/>
      <c r="G133" s="26"/>
      <c r="H133" s="26"/>
      <c r="I133" s="26"/>
      <c r="J133" s="26"/>
      <c r="K133" s="26"/>
      <c r="O133" s="26"/>
    </row>
    <row r="134" spans="1:15" ht="19.5" customHeight="1" x14ac:dyDescent="0.45">
      <c r="A134" s="41">
        <v>44169.79452815972</v>
      </c>
      <c r="B134" s="38">
        <v>17</v>
      </c>
      <c r="C134" s="35">
        <f t="shared" si="4"/>
        <v>126</v>
      </c>
      <c r="D134" s="35">
        <f t="shared" si="3"/>
        <v>29.319139473963478</v>
      </c>
      <c r="E134" t="s">
        <v>149</v>
      </c>
      <c r="F134" s="26"/>
      <c r="G134" s="26"/>
      <c r="H134" s="26"/>
      <c r="I134" s="26"/>
      <c r="J134" s="26"/>
      <c r="K134" s="26"/>
      <c r="O134" s="26"/>
    </row>
    <row r="135" spans="1:15" ht="19.5" customHeight="1" x14ac:dyDescent="0.45">
      <c r="A135" s="41">
        <v>44169.794528252314</v>
      </c>
      <c r="B135" s="38">
        <v>17</v>
      </c>
      <c r="C135" s="35">
        <f t="shared" si="4"/>
        <v>127</v>
      </c>
      <c r="D135" s="35">
        <f t="shared" si="3"/>
        <v>29.391390044754335</v>
      </c>
      <c r="E135" t="s">
        <v>150</v>
      </c>
      <c r="F135" s="26"/>
      <c r="G135" s="26"/>
      <c r="H135" s="26"/>
      <c r="I135" s="26"/>
      <c r="J135" s="26"/>
      <c r="K135" s="26"/>
      <c r="O135" s="26"/>
    </row>
    <row r="136" spans="1:15" ht="19.5" customHeight="1" x14ac:dyDescent="0.45">
      <c r="A136" s="41">
        <v>44169.794528356484</v>
      </c>
      <c r="B136" s="38">
        <v>672</v>
      </c>
      <c r="C136" s="35">
        <f t="shared" si="4"/>
        <v>128</v>
      </c>
      <c r="D136" s="35">
        <f t="shared" si="3"/>
        <v>46.0390625</v>
      </c>
      <c r="E136" t="s">
        <v>151</v>
      </c>
      <c r="F136" s="26"/>
      <c r="G136" s="26"/>
      <c r="H136" s="26"/>
      <c r="I136" s="26"/>
      <c r="J136" s="26"/>
      <c r="K136" s="26"/>
    </row>
    <row r="137" spans="1:15" ht="19.5" customHeight="1" x14ac:dyDescent="0.45">
      <c r="A137" s="41">
        <v>44169.794528402781</v>
      </c>
      <c r="B137" s="38">
        <v>17</v>
      </c>
      <c r="C137" s="35">
        <f t="shared" si="4"/>
        <v>129</v>
      </c>
      <c r="D137" s="35">
        <f t="shared" ref="D137:D200" si="5">(2/256)*IMABS(E137)</f>
        <v>29.391390044754303</v>
      </c>
      <c r="E137" t="s">
        <v>152</v>
      </c>
      <c r="F137" s="26"/>
      <c r="G137" s="26"/>
      <c r="H137" s="26"/>
      <c r="I137" s="26"/>
      <c r="J137" s="26"/>
      <c r="K137" s="26"/>
    </row>
    <row r="138" spans="1:15" ht="19.5" customHeight="1" x14ac:dyDescent="0.45">
      <c r="A138" s="41">
        <v>44169.794528495368</v>
      </c>
      <c r="B138" s="38">
        <v>17</v>
      </c>
      <c r="C138" s="35">
        <f t="shared" ref="C138:C201" si="6">(C137)+1</f>
        <v>130</v>
      </c>
      <c r="D138" s="35">
        <f t="shared" si="5"/>
        <v>29.31913947396346</v>
      </c>
      <c r="E138" t="s">
        <v>153</v>
      </c>
      <c r="F138" s="26"/>
      <c r="G138" s="26"/>
      <c r="H138" s="26"/>
      <c r="I138" s="26"/>
      <c r="J138" s="26"/>
      <c r="K138" s="26"/>
    </row>
    <row r="139" spans="1:15" ht="19.5" customHeight="1" x14ac:dyDescent="0.45">
      <c r="A139" s="41">
        <v>44169.794528541664</v>
      </c>
      <c r="B139" s="38">
        <v>17</v>
      </c>
      <c r="C139" s="35">
        <f t="shared" si="6"/>
        <v>131</v>
      </c>
      <c r="D139" s="35">
        <f t="shared" si="5"/>
        <v>29.389615760255083</v>
      </c>
      <c r="E139" t="s">
        <v>154</v>
      </c>
      <c r="F139" s="26"/>
      <c r="G139" s="26"/>
      <c r="H139" s="26"/>
      <c r="I139" s="26"/>
      <c r="J139" s="26"/>
      <c r="K139" s="26"/>
    </row>
    <row r="140" spans="1:15" ht="19.5" customHeight="1" x14ac:dyDescent="0.45">
      <c r="A140" s="41">
        <v>44169.794528634258</v>
      </c>
      <c r="B140" s="38">
        <v>17</v>
      </c>
      <c r="C140" s="35">
        <f t="shared" si="6"/>
        <v>132</v>
      </c>
      <c r="D140" s="35">
        <f t="shared" si="5"/>
        <v>30.893240243015743</v>
      </c>
      <c r="E140" t="s">
        <v>155</v>
      </c>
      <c r="F140" s="26"/>
      <c r="G140" s="26"/>
      <c r="H140" s="26"/>
      <c r="I140" s="26"/>
      <c r="J140" s="26"/>
      <c r="K140" s="26"/>
    </row>
    <row r="141" spans="1:15" ht="19.5" customHeight="1" x14ac:dyDescent="0.45">
      <c r="A141" s="41">
        <v>44169.794528680555</v>
      </c>
      <c r="B141" s="38">
        <v>17</v>
      </c>
      <c r="C141" s="35">
        <f t="shared" si="6"/>
        <v>133</v>
      </c>
      <c r="D141" s="35">
        <f t="shared" si="5"/>
        <v>37.928875556483341</v>
      </c>
      <c r="E141" t="s">
        <v>156</v>
      </c>
      <c r="F141" s="26"/>
      <c r="G141" s="26"/>
      <c r="H141" s="26"/>
      <c r="I141" s="26"/>
      <c r="J141" s="26"/>
      <c r="K141" s="26"/>
    </row>
    <row r="142" spans="1:15" ht="19.5" customHeight="1" x14ac:dyDescent="0.45">
      <c r="A142" s="41">
        <v>44169.794528773149</v>
      </c>
      <c r="B142" s="38">
        <v>671</v>
      </c>
      <c r="C142" s="35">
        <f t="shared" si="6"/>
        <v>134</v>
      </c>
      <c r="D142" s="35">
        <f t="shared" si="5"/>
        <v>18.583348305285195</v>
      </c>
      <c r="E142" t="s">
        <v>157</v>
      </c>
      <c r="F142" s="26"/>
      <c r="G142" s="26"/>
      <c r="H142" s="26"/>
      <c r="I142" s="26"/>
      <c r="J142" s="26"/>
      <c r="K142" s="26"/>
    </row>
    <row r="143" spans="1:15" ht="19.5" customHeight="1" x14ac:dyDescent="0.45">
      <c r="A143" s="41">
        <v>44169.794528877312</v>
      </c>
      <c r="B143" s="38">
        <v>17</v>
      </c>
      <c r="C143" s="35">
        <f t="shared" si="6"/>
        <v>135</v>
      </c>
      <c r="D143" s="35">
        <f t="shared" si="5"/>
        <v>19.202616768004908</v>
      </c>
      <c r="E143" t="s">
        <v>158</v>
      </c>
      <c r="F143" s="26"/>
      <c r="G143" s="26"/>
      <c r="H143" s="26"/>
      <c r="I143" s="26"/>
      <c r="J143" s="26"/>
      <c r="K143" s="26"/>
    </row>
    <row r="144" spans="1:15" ht="19.5" customHeight="1" x14ac:dyDescent="0.45">
      <c r="A144" s="41">
        <v>44169.794528923609</v>
      </c>
      <c r="B144" s="38">
        <v>17</v>
      </c>
      <c r="C144" s="35">
        <f t="shared" si="6"/>
        <v>136</v>
      </c>
      <c r="D144" s="35">
        <f t="shared" si="5"/>
        <v>18.758331362895376</v>
      </c>
      <c r="E144" t="s">
        <v>159</v>
      </c>
      <c r="F144" s="26"/>
      <c r="G144" s="26"/>
      <c r="H144" s="26"/>
      <c r="I144" s="26"/>
      <c r="J144" s="26"/>
      <c r="K144" s="26"/>
    </row>
    <row r="145" spans="1:11" ht="19.5" customHeight="1" x14ac:dyDescent="0.45">
      <c r="A145" s="41">
        <v>44169.794529016202</v>
      </c>
      <c r="B145" s="38">
        <v>17</v>
      </c>
      <c r="C145" s="35">
        <f t="shared" si="6"/>
        <v>137</v>
      </c>
      <c r="D145" s="35">
        <f t="shared" si="5"/>
        <v>19.772459347342021</v>
      </c>
      <c r="E145" t="s">
        <v>160</v>
      </c>
      <c r="F145" s="26"/>
      <c r="G145" s="26"/>
      <c r="H145" s="26"/>
      <c r="I145" s="26"/>
      <c r="J145" s="26"/>
      <c r="K145" s="26"/>
    </row>
    <row r="146" spans="1:11" ht="19.5" customHeight="1" x14ac:dyDescent="0.45">
      <c r="A146" s="41">
        <v>44169.794529062499</v>
      </c>
      <c r="B146" s="38">
        <v>16</v>
      </c>
      <c r="C146" s="35">
        <f t="shared" si="6"/>
        <v>138</v>
      </c>
      <c r="D146" s="35">
        <f t="shared" si="5"/>
        <v>18.051847122024498</v>
      </c>
      <c r="E146" t="s">
        <v>161</v>
      </c>
      <c r="F146" s="26"/>
      <c r="G146" s="26"/>
      <c r="H146" s="26"/>
      <c r="I146" s="26"/>
      <c r="J146" s="26"/>
      <c r="K146" s="26"/>
    </row>
    <row r="147" spans="1:11" ht="19.5" customHeight="1" x14ac:dyDescent="0.45">
      <c r="A147" s="41">
        <v>44169.794529155093</v>
      </c>
      <c r="B147" s="38">
        <v>17</v>
      </c>
      <c r="C147" s="35">
        <f t="shared" si="6"/>
        <v>139</v>
      </c>
      <c r="D147" s="35">
        <f t="shared" si="5"/>
        <v>6.0379471418593216</v>
      </c>
      <c r="E147" t="s">
        <v>162</v>
      </c>
      <c r="F147" s="26"/>
      <c r="G147" s="26"/>
      <c r="H147" s="26"/>
      <c r="I147" s="26"/>
      <c r="J147" s="26"/>
      <c r="K147" s="26"/>
    </row>
    <row r="148" spans="1:11" ht="19.5" customHeight="1" x14ac:dyDescent="0.45">
      <c r="A148" s="41">
        <v>44169.79452920139</v>
      </c>
      <c r="B148" s="38">
        <v>16</v>
      </c>
      <c r="C148" s="35">
        <f t="shared" si="6"/>
        <v>140</v>
      </c>
      <c r="D148" s="35">
        <f t="shared" si="5"/>
        <v>5.3182226683899474</v>
      </c>
      <c r="E148" t="s">
        <v>163</v>
      </c>
      <c r="F148" s="26"/>
      <c r="G148" s="26"/>
      <c r="H148" s="26"/>
      <c r="I148" s="26"/>
      <c r="J148" s="26"/>
      <c r="K148" s="26"/>
    </row>
    <row r="149" spans="1:11" ht="19.5" customHeight="1" x14ac:dyDescent="0.45">
      <c r="A149" s="41">
        <v>44169.794529305553</v>
      </c>
      <c r="B149" s="39">
        <v>17</v>
      </c>
      <c r="C149" s="35">
        <f t="shared" si="6"/>
        <v>141</v>
      </c>
      <c r="D149" s="35">
        <f t="shared" si="5"/>
        <v>3.4438386590782772</v>
      </c>
      <c r="E149" t="s">
        <v>164</v>
      </c>
      <c r="F149" s="26"/>
      <c r="G149" s="26"/>
      <c r="H149" s="26"/>
      <c r="I149" s="26"/>
      <c r="J149" s="26"/>
      <c r="K149" s="26"/>
    </row>
    <row r="150" spans="1:11" ht="19.5" customHeight="1" x14ac:dyDescent="0.45">
      <c r="A150" s="41">
        <v>44169.79452935185</v>
      </c>
      <c r="B150" s="38">
        <v>16</v>
      </c>
      <c r="C150" s="35">
        <f t="shared" si="6"/>
        <v>142</v>
      </c>
      <c r="D150" s="35">
        <f t="shared" si="5"/>
        <v>0.86595996394739549</v>
      </c>
      <c r="E150" t="s">
        <v>165</v>
      </c>
      <c r="F150" s="26"/>
      <c r="G150" s="26"/>
      <c r="H150" s="26"/>
      <c r="I150" s="26"/>
      <c r="J150" s="26"/>
      <c r="K150" s="26"/>
    </row>
    <row r="151" spans="1:11" ht="19.5" customHeight="1" x14ac:dyDescent="0.45">
      <c r="A151" s="41">
        <v>44169.794529444443</v>
      </c>
      <c r="B151" s="38">
        <v>17</v>
      </c>
      <c r="C151" s="35">
        <f t="shared" si="6"/>
        <v>143</v>
      </c>
      <c r="D151" s="35">
        <f t="shared" si="5"/>
        <v>2.8404774790016143</v>
      </c>
      <c r="E151" t="s">
        <v>166</v>
      </c>
      <c r="F151" s="26"/>
      <c r="G151" s="26"/>
      <c r="H151" s="26"/>
      <c r="I151" s="26"/>
      <c r="J151" s="26"/>
      <c r="K151" s="26"/>
    </row>
    <row r="152" spans="1:11" ht="19.5" customHeight="1" x14ac:dyDescent="0.45">
      <c r="A152" s="41">
        <v>44169.79452949074</v>
      </c>
      <c r="B152" s="38">
        <v>16</v>
      </c>
      <c r="C152" s="35">
        <f t="shared" si="6"/>
        <v>144</v>
      </c>
      <c r="D152" s="35">
        <f t="shared" si="5"/>
        <v>2.1070726557804407</v>
      </c>
      <c r="E152" t="s">
        <v>167</v>
      </c>
      <c r="F152" s="26"/>
      <c r="G152" s="26"/>
      <c r="H152" s="26"/>
      <c r="I152" s="26"/>
      <c r="J152" s="26"/>
      <c r="K152" s="26"/>
    </row>
    <row r="153" spans="1:11" ht="19.5" customHeight="1" x14ac:dyDescent="0.45">
      <c r="A153" s="41">
        <v>44169.794529583334</v>
      </c>
      <c r="B153" s="38">
        <v>16</v>
      </c>
      <c r="C153" s="35">
        <f t="shared" si="6"/>
        <v>145</v>
      </c>
      <c r="D153" s="35">
        <f t="shared" si="5"/>
        <v>4.7217703239724171</v>
      </c>
      <c r="E153" t="s">
        <v>168</v>
      </c>
      <c r="F153" s="26"/>
      <c r="G153" s="26"/>
      <c r="H153" s="26"/>
      <c r="I153" s="26"/>
      <c r="J153" s="26"/>
      <c r="K153" s="26"/>
    </row>
    <row r="154" spans="1:11" ht="19.5" customHeight="1" x14ac:dyDescent="0.45">
      <c r="A154" s="41">
        <v>44169.794529629631</v>
      </c>
      <c r="B154" s="38">
        <v>17</v>
      </c>
      <c r="C154" s="35">
        <f t="shared" si="6"/>
        <v>146</v>
      </c>
      <c r="D154" s="35">
        <f t="shared" si="5"/>
        <v>7.8159089751055815</v>
      </c>
      <c r="E154" t="s">
        <v>169</v>
      </c>
      <c r="F154" s="26"/>
      <c r="G154" s="26"/>
      <c r="H154" s="26"/>
      <c r="I154" s="26"/>
      <c r="J154" s="26"/>
      <c r="K154" s="26"/>
    </row>
    <row r="155" spans="1:11" ht="19.5" customHeight="1" x14ac:dyDescent="0.45">
      <c r="A155" s="41">
        <v>44169.794529722225</v>
      </c>
      <c r="B155" s="38">
        <v>17</v>
      </c>
      <c r="C155" s="35">
        <f t="shared" si="6"/>
        <v>147</v>
      </c>
      <c r="D155" s="35">
        <f t="shared" si="5"/>
        <v>14.544476951160677</v>
      </c>
      <c r="E155" t="s">
        <v>170</v>
      </c>
      <c r="F155" s="26"/>
      <c r="G155" s="26"/>
      <c r="H155" s="26"/>
      <c r="I155" s="26"/>
      <c r="J155" s="26"/>
      <c r="K155" s="26"/>
    </row>
    <row r="156" spans="1:11" ht="19.5" customHeight="1" x14ac:dyDescent="0.45">
      <c r="A156" s="41">
        <v>44169.794529768522</v>
      </c>
      <c r="B156" s="38">
        <v>16</v>
      </c>
      <c r="C156" s="35">
        <f t="shared" si="6"/>
        <v>148</v>
      </c>
      <c r="D156" s="35">
        <f t="shared" si="5"/>
        <v>13.687034218932368</v>
      </c>
      <c r="E156" t="s">
        <v>171</v>
      </c>
      <c r="F156" s="26"/>
      <c r="G156" s="26"/>
      <c r="H156" s="26"/>
      <c r="I156" s="26"/>
      <c r="J156" s="26"/>
      <c r="K156" s="26"/>
    </row>
    <row r="157" spans="1:11" ht="19.5" customHeight="1" x14ac:dyDescent="0.45">
      <c r="A157" s="41">
        <v>44169.794529872685</v>
      </c>
      <c r="B157" s="38">
        <v>17</v>
      </c>
      <c r="C157" s="35">
        <f t="shared" si="6"/>
        <v>149</v>
      </c>
      <c r="D157" s="35">
        <f t="shared" si="5"/>
        <v>3.9855467356750163</v>
      </c>
      <c r="E157" t="s">
        <v>172</v>
      </c>
      <c r="F157" s="26"/>
      <c r="G157" s="26"/>
      <c r="H157" s="26"/>
      <c r="I157" s="26"/>
      <c r="J157" s="26"/>
      <c r="K157" s="26"/>
    </row>
    <row r="158" spans="1:11" ht="19.5" customHeight="1" x14ac:dyDescent="0.45">
      <c r="A158" s="41">
        <v>44169.794529918981</v>
      </c>
      <c r="B158" s="38">
        <v>16</v>
      </c>
      <c r="C158" s="35">
        <f t="shared" si="6"/>
        <v>150</v>
      </c>
      <c r="D158" s="35">
        <f t="shared" si="5"/>
        <v>6.8094110800750594</v>
      </c>
      <c r="E158" t="s">
        <v>173</v>
      </c>
      <c r="F158" s="26"/>
      <c r="G158" s="26"/>
      <c r="H158" s="26"/>
      <c r="I158" s="26"/>
      <c r="J158" s="26"/>
      <c r="K158" s="26"/>
    </row>
    <row r="159" spans="1:11" ht="19.5" customHeight="1" x14ac:dyDescent="0.45">
      <c r="A159" s="41">
        <v>44169.794530011575</v>
      </c>
      <c r="B159" s="38">
        <v>16</v>
      </c>
      <c r="C159" s="35">
        <f t="shared" si="6"/>
        <v>151</v>
      </c>
      <c r="D159" s="35">
        <f t="shared" si="5"/>
        <v>9.1084996564086804</v>
      </c>
      <c r="E159" t="s">
        <v>174</v>
      </c>
      <c r="F159" s="26"/>
      <c r="G159" s="26"/>
      <c r="H159" s="26"/>
      <c r="I159" s="26"/>
      <c r="J159" s="26"/>
      <c r="K159" s="26"/>
    </row>
    <row r="160" spans="1:11" ht="19.5" customHeight="1" x14ac:dyDescent="0.45">
      <c r="A160" s="41">
        <v>44169.794530057872</v>
      </c>
      <c r="B160" s="38">
        <v>17</v>
      </c>
      <c r="C160" s="35">
        <f t="shared" si="6"/>
        <v>152</v>
      </c>
      <c r="D160" s="35">
        <f t="shared" si="5"/>
        <v>15.101284411057673</v>
      </c>
      <c r="E160" t="s">
        <v>175</v>
      </c>
      <c r="F160" s="26"/>
      <c r="G160" s="26"/>
      <c r="H160" s="26"/>
      <c r="I160" s="26"/>
      <c r="J160" s="26"/>
      <c r="K160" s="26"/>
    </row>
    <row r="161" spans="1:11" ht="19.5" customHeight="1" x14ac:dyDescent="0.45">
      <c r="A161" s="41">
        <v>44169.794530173611</v>
      </c>
      <c r="B161" s="38">
        <v>17</v>
      </c>
      <c r="C161" s="35">
        <f t="shared" si="6"/>
        <v>153</v>
      </c>
      <c r="D161" s="35">
        <f t="shared" si="5"/>
        <v>9.7832090785810877</v>
      </c>
      <c r="E161" t="s">
        <v>176</v>
      </c>
      <c r="F161" s="26"/>
      <c r="G161" s="26"/>
      <c r="H161" s="26"/>
      <c r="I161" s="26"/>
      <c r="J161" s="26"/>
      <c r="K161" s="26"/>
    </row>
    <row r="162" spans="1:11" ht="19.5" customHeight="1" x14ac:dyDescent="0.45">
      <c r="A162" s="41">
        <v>44169.794530243053</v>
      </c>
      <c r="B162" s="38">
        <v>17</v>
      </c>
      <c r="C162" s="35">
        <f t="shared" si="6"/>
        <v>154</v>
      </c>
      <c r="D162" s="35">
        <f t="shared" si="5"/>
        <v>1.8703420796267038</v>
      </c>
      <c r="E162" t="s">
        <v>177</v>
      </c>
      <c r="F162" s="26"/>
      <c r="G162" s="26"/>
      <c r="H162" s="26"/>
      <c r="I162" s="26"/>
      <c r="J162" s="26"/>
      <c r="K162" s="26"/>
    </row>
    <row r="163" spans="1:11" ht="19.5" customHeight="1" x14ac:dyDescent="0.45">
      <c r="A163" s="41">
        <v>44169.794530289349</v>
      </c>
      <c r="B163" s="38">
        <v>17</v>
      </c>
      <c r="C163" s="35">
        <f t="shared" si="6"/>
        <v>155</v>
      </c>
      <c r="D163" s="35">
        <f t="shared" si="5"/>
        <v>2.0883395531757607</v>
      </c>
      <c r="E163" t="s">
        <v>178</v>
      </c>
      <c r="F163" s="26"/>
      <c r="G163" s="26"/>
      <c r="H163" s="26"/>
      <c r="I163" s="26"/>
      <c r="J163" s="26"/>
      <c r="K163" s="26"/>
    </row>
    <row r="164" spans="1:11" ht="19.5" customHeight="1" x14ac:dyDescent="0.45">
      <c r="A164" s="41">
        <v>44169.794530393519</v>
      </c>
      <c r="B164" s="38">
        <v>17</v>
      </c>
      <c r="C164" s="35">
        <f t="shared" si="6"/>
        <v>156</v>
      </c>
      <c r="D164" s="35">
        <f t="shared" si="5"/>
        <v>0.99946149851379507</v>
      </c>
      <c r="E164" t="s">
        <v>179</v>
      </c>
      <c r="F164" s="26"/>
      <c r="G164" s="26"/>
      <c r="H164" s="26"/>
      <c r="I164" s="26"/>
      <c r="J164" s="26"/>
      <c r="K164" s="26"/>
    </row>
    <row r="165" spans="1:11" ht="19.5" customHeight="1" x14ac:dyDescent="0.45">
      <c r="A165" s="41">
        <v>44169.794530439816</v>
      </c>
      <c r="B165" s="39">
        <v>17</v>
      </c>
      <c r="C165" s="35">
        <f t="shared" si="6"/>
        <v>157</v>
      </c>
      <c r="D165" s="35">
        <f t="shared" si="5"/>
        <v>2.8092989158488599</v>
      </c>
      <c r="E165" t="s">
        <v>180</v>
      </c>
      <c r="F165" s="26"/>
      <c r="G165" s="26"/>
      <c r="H165" s="26"/>
      <c r="I165" s="26"/>
      <c r="J165" s="26"/>
      <c r="K165" s="26"/>
    </row>
    <row r="166" spans="1:11" ht="19.5" customHeight="1" x14ac:dyDescent="0.45">
      <c r="A166" s="41">
        <v>44169.79453053241</v>
      </c>
      <c r="B166" s="38">
        <v>16</v>
      </c>
      <c r="C166" s="35">
        <f t="shared" si="6"/>
        <v>158</v>
      </c>
      <c r="D166" s="35">
        <f t="shared" si="5"/>
        <v>5.4225770707497878</v>
      </c>
      <c r="E166" t="s">
        <v>181</v>
      </c>
      <c r="F166" s="26"/>
      <c r="G166" s="26"/>
      <c r="H166" s="26"/>
      <c r="I166" s="26"/>
      <c r="J166" s="26"/>
      <c r="K166" s="26"/>
    </row>
    <row r="167" spans="1:11" ht="19.5" customHeight="1" x14ac:dyDescent="0.45">
      <c r="A167" s="41">
        <v>44169.794530578707</v>
      </c>
      <c r="B167" s="38">
        <v>17</v>
      </c>
      <c r="C167" s="35">
        <f t="shared" si="6"/>
        <v>159</v>
      </c>
      <c r="D167" s="35">
        <f t="shared" si="5"/>
        <v>2.566743046540124</v>
      </c>
      <c r="E167" t="s">
        <v>182</v>
      </c>
      <c r="F167" s="26"/>
      <c r="G167" s="26"/>
      <c r="H167" s="26"/>
      <c r="I167" s="26"/>
      <c r="J167" s="26"/>
      <c r="K167" s="26"/>
    </row>
    <row r="168" spans="1:11" ht="19.5" customHeight="1" x14ac:dyDescent="0.45">
      <c r="A168" s="41">
        <v>44169.79453068287</v>
      </c>
      <c r="B168" s="38">
        <v>16</v>
      </c>
      <c r="C168" s="35">
        <f t="shared" si="6"/>
        <v>160</v>
      </c>
      <c r="D168" s="35">
        <f t="shared" si="5"/>
        <v>5.1489928917519183</v>
      </c>
      <c r="E168" t="s">
        <v>183</v>
      </c>
      <c r="F168" s="26"/>
      <c r="G168" s="26"/>
      <c r="H168" s="26"/>
      <c r="I168" s="26"/>
      <c r="J168" s="26"/>
      <c r="K168" s="26"/>
    </row>
    <row r="169" spans="1:11" ht="19.5" customHeight="1" x14ac:dyDescent="0.45">
      <c r="A169" s="41">
        <v>44169.794530717591</v>
      </c>
      <c r="B169" s="38">
        <v>17</v>
      </c>
      <c r="C169" s="35">
        <f t="shared" si="6"/>
        <v>161</v>
      </c>
      <c r="D169" s="35">
        <f t="shared" si="5"/>
        <v>10.307811825024597</v>
      </c>
      <c r="E169" t="s">
        <v>184</v>
      </c>
      <c r="F169" s="26"/>
      <c r="G169" s="26"/>
      <c r="H169" s="26"/>
      <c r="I169" s="26"/>
      <c r="J169" s="26"/>
      <c r="K169" s="26"/>
    </row>
    <row r="170" spans="1:11" ht="19.5" customHeight="1" x14ac:dyDescent="0.45">
      <c r="A170" s="41">
        <v>44169.794530810184</v>
      </c>
      <c r="B170" s="38">
        <v>17</v>
      </c>
      <c r="C170" s="35">
        <f t="shared" si="6"/>
        <v>162</v>
      </c>
      <c r="D170" s="35">
        <f t="shared" si="5"/>
        <v>31.754220844781216</v>
      </c>
      <c r="E170" t="s">
        <v>185</v>
      </c>
      <c r="F170" s="26"/>
      <c r="G170" s="26"/>
      <c r="H170" s="26"/>
      <c r="I170" s="26"/>
      <c r="J170" s="26"/>
      <c r="K170" s="26"/>
    </row>
    <row r="171" spans="1:11" ht="19.5" customHeight="1" x14ac:dyDescent="0.45">
      <c r="A171" s="41">
        <v>44169.794530868057</v>
      </c>
      <c r="B171" s="38">
        <v>17</v>
      </c>
      <c r="C171" s="35">
        <f t="shared" si="6"/>
        <v>163</v>
      </c>
      <c r="D171" s="35">
        <f t="shared" si="5"/>
        <v>22.636369524107465</v>
      </c>
      <c r="E171" t="s">
        <v>186</v>
      </c>
      <c r="F171" s="26"/>
      <c r="G171" s="26"/>
      <c r="H171" s="26"/>
      <c r="I171" s="26"/>
      <c r="J171" s="26"/>
      <c r="K171" s="26"/>
    </row>
    <row r="172" spans="1:11" ht="19.5" customHeight="1" x14ac:dyDescent="0.45">
      <c r="A172" s="41">
        <v>44169.794530960651</v>
      </c>
      <c r="B172" s="38">
        <v>17</v>
      </c>
      <c r="C172" s="35">
        <f t="shared" si="6"/>
        <v>164</v>
      </c>
      <c r="D172" s="35">
        <f t="shared" si="5"/>
        <v>8.671625370943735</v>
      </c>
      <c r="E172" t="s">
        <v>187</v>
      </c>
      <c r="F172" s="26"/>
      <c r="G172" s="26"/>
      <c r="H172" s="26"/>
      <c r="I172" s="26"/>
      <c r="J172" s="26"/>
      <c r="K172" s="26"/>
    </row>
    <row r="173" spans="1:11" ht="19.5" customHeight="1" x14ac:dyDescent="0.45">
      <c r="A173" s="41">
        <v>44169.794531006941</v>
      </c>
      <c r="B173" s="38">
        <v>17</v>
      </c>
      <c r="C173" s="35">
        <f t="shared" si="6"/>
        <v>165</v>
      </c>
      <c r="D173" s="35">
        <f t="shared" si="5"/>
        <v>10.656738562816271</v>
      </c>
      <c r="E173" t="s">
        <v>188</v>
      </c>
      <c r="F173" s="26"/>
      <c r="G173" s="26"/>
      <c r="H173" s="26"/>
      <c r="I173" s="26"/>
      <c r="J173" s="26"/>
      <c r="K173" s="26"/>
    </row>
    <row r="174" spans="1:11" ht="19.5" customHeight="1" x14ac:dyDescent="0.45">
      <c r="A174" s="41">
        <v>44169.794531099535</v>
      </c>
      <c r="B174" s="38">
        <v>17</v>
      </c>
      <c r="C174" s="35">
        <f t="shared" si="6"/>
        <v>166</v>
      </c>
      <c r="D174" s="35">
        <f t="shared" si="5"/>
        <v>17.661305886103026</v>
      </c>
      <c r="E174" t="s">
        <v>189</v>
      </c>
      <c r="F174" s="26"/>
      <c r="G174" s="26"/>
      <c r="H174" s="26"/>
      <c r="I174" s="26"/>
      <c r="J174" s="26"/>
      <c r="K174" s="26"/>
    </row>
    <row r="175" spans="1:11" ht="19.5" customHeight="1" x14ac:dyDescent="0.45">
      <c r="A175" s="41">
        <v>44169.794531145832</v>
      </c>
      <c r="B175" s="38">
        <v>17</v>
      </c>
      <c r="C175" s="35">
        <f t="shared" si="6"/>
        <v>167</v>
      </c>
      <c r="D175" s="35">
        <f t="shared" si="5"/>
        <v>56.628996712019394</v>
      </c>
      <c r="E175" t="s">
        <v>190</v>
      </c>
      <c r="F175" s="26"/>
      <c r="G175" s="26"/>
      <c r="H175" s="26"/>
      <c r="I175" s="26"/>
      <c r="J175" s="26"/>
      <c r="K175" s="26"/>
    </row>
    <row r="176" spans="1:11" ht="19.5" customHeight="1" x14ac:dyDescent="0.45">
      <c r="A176" s="41">
        <v>44169.794531238425</v>
      </c>
      <c r="B176" s="38">
        <v>17</v>
      </c>
      <c r="C176" s="35">
        <f t="shared" si="6"/>
        <v>168</v>
      </c>
      <c r="D176" s="35">
        <f t="shared" si="5"/>
        <v>32.362393183386502</v>
      </c>
      <c r="E176" t="s">
        <v>191</v>
      </c>
      <c r="F176" s="26"/>
      <c r="G176" s="26"/>
      <c r="H176" s="26"/>
      <c r="I176" s="26"/>
      <c r="J176" s="26"/>
      <c r="K176" s="26"/>
    </row>
    <row r="177" spans="1:11" ht="19.5" customHeight="1" x14ac:dyDescent="0.45">
      <c r="A177" s="41">
        <v>44169.794531284722</v>
      </c>
      <c r="B177" s="38">
        <v>17</v>
      </c>
      <c r="C177" s="35">
        <f t="shared" si="6"/>
        <v>169</v>
      </c>
      <c r="D177" s="35">
        <f t="shared" si="5"/>
        <v>14.275094452661286</v>
      </c>
      <c r="E177" t="s">
        <v>192</v>
      </c>
      <c r="F177" s="26"/>
      <c r="G177" s="26"/>
      <c r="H177" s="26"/>
      <c r="I177" s="26"/>
      <c r="J177" s="26"/>
      <c r="K177" s="26"/>
    </row>
    <row r="178" spans="1:11" ht="19.5" customHeight="1" x14ac:dyDescent="0.45">
      <c r="A178" s="41">
        <v>44169.794531388892</v>
      </c>
      <c r="B178" s="38">
        <v>17</v>
      </c>
      <c r="C178" s="35">
        <f t="shared" si="6"/>
        <v>170</v>
      </c>
      <c r="D178" s="35">
        <f t="shared" si="5"/>
        <v>13.299130989800529</v>
      </c>
      <c r="E178" t="s">
        <v>193</v>
      </c>
      <c r="F178" s="26"/>
      <c r="G178" s="26"/>
      <c r="H178" s="26"/>
      <c r="I178" s="26"/>
      <c r="J178" s="26"/>
      <c r="K178" s="26"/>
    </row>
    <row r="179" spans="1:11" ht="19.5" customHeight="1" x14ac:dyDescent="0.45">
      <c r="A179" s="41">
        <v>44169.794531435182</v>
      </c>
      <c r="B179" s="38">
        <v>16</v>
      </c>
      <c r="C179" s="35">
        <f t="shared" si="6"/>
        <v>171</v>
      </c>
      <c r="D179" s="35">
        <f t="shared" si="5"/>
        <v>17.700344298377956</v>
      </c>
      <c r="E179" t="s">
        <v>194</v>
      </c>
      <c r="F179" s="26"/>
      <c r="G179" s="26"/>
      <c r="H179" s="26"/>
      <c r="I179" s="26"/>
      <c r="J179" s="26"/>
      <c r="K179" s="26"/>
    </row>
    <row r="180" spans="1:11" ht="19.5" customHeight="1" x14ac:dyDescent="0.45">
      <c r="A180" s="41">
        <v>44169.794531527776</v>
      </c>
      <c r="B180" s="38">
        <v>17</v>
      </c>
      <c r="C180" s="35">
        <f t="shared" si="6"/>
        <v>172</v>
      </c>
      <c r="D180" s="35">
        <f t="shared" si="5"/>
        <v>63.530818775401833</v>
      </c>
      <c r="E180" t="s">
        <v>195</v>
      </c>
      <c r="F180" s="26"/>
      <c r="G180" s="26"/>
      <c r="H180" s="26"/>
      <c r="I180" s="26"/>
      <c r="J180" s="26"/>
      <c r="K180" s="26"/>
    </row>
    <row r="181" spans="1:11" ht="19.5" customHeight="1" x14ac:dyDescent="0.45">
      <c r="A181" s="41">
        <v>44169.794531574073</v>
      </c>
      <c r="B181" s="39">
        <v>16</v>
      </c>
      <c r="C181" s="35">
        <f t="shared" si="6"/>
        <v>173</v>
      </c>
      <c r="D181" s="35">
        <f t="shared" si="5"/>
        <v>30.300861739261855</v>
      </c>
      <c r="E181" t="s">
        <v>196</v>
      </c>
      <c r="F181" s="26"/>
      <c r="G181" s="26"/>
      <c r="H181" s="26"/>
      <c r="I181" s="26"/>
      <c r="J181" s="26"/>
      <c r="K181" s="26"/>
    </row>
    <row r="182" spans="1:11" ht="19.5" customHeight="1" x14ac:dyDescent="0.45">
      <c r="A182" s="41">
        <v>44169.794531666666</v>
      </c>
      <c r="B182" s="38">
        <v>672</v>
      </c>
      <c r="C182" s="35">
        <f t="shared" si="6"/>
        <v>174</v>
      </c>
      <c r="D182" s="35">
        <f t="shared" si="5"/>
        <v>15.524374404160174</v>
      </c>
      <c r="E182" t="s">
        <v>197</v>
      </c>
      <c r="F182" s="26"/>
      <c r="G182" s="26"/>
      <c r="H182" s="26"/>
      <c r="I182" s="26"/>
      <c r="J182" s="26"/>
      <c r="K182" s="26"/>
    </row>
    <row r="183" spans="1:11" ht="19.5" customHeight="1" x14ac:dyDescent="0.45">
      <c r="A183" s="41">
        <v>44169.79453175926</v>
      </c>
      <c r="B183" s="38">
        <v>17</v>
      </c>
      <c r="C183" s="35">
        <f t="shared" si="6"/>
        <v>175</v>
      </c>
      <c r="D183" s="35">
        <f t="shared" si="5"/>
        <v>12.462455620856973</v>
      </c>
      <c r="E183" t="s">
        <v>198</v>
      </c>
      <c r="F183" s="26"/>
      <c r="G183" s="26"/>
      <c r="H183" s="26"/>
      <c r="I183" s="26"/>
      <c r="J183" s="26"/>
      <c r="K183" s="26"/>
    </row>
    <row r="184" spans="1:11" ht="19.5" customHeight="1" x14ac:dyDescent="0.45">
      <c r="A184" s="41">
        <v>44169.794531817133</v>
      </c>
      <c r="B184" s="38">
        <v>17</v>
      </c>
      <c r="C184" s="35">
        <f t="shared" si="6"/>
        <v>176</v>
      </c>
      <c r="D184" s="35">
        <f t="shared" si="5"/>
        <v>12.307825237142779</v>
      </c>
      <c r="E184" t="s">
        <v>199</v>
      </c>
      <c r="F184" s="26"/>
      <c r="G184" s="26"/>
      <c r="H184" s="26"/>
      <c r="I184" s="26"/>
      <c r="J184" s="26"/>
      <c r="K184" s="26"/>
    </row>
    <row r="185" spans="1:11" ht="19.5" customHeight="1" x14ac:dyDescent="0.45">
      <c r="A185" s="41">
        <v>44169.79453190972</v>
      </c>
      <c r="B185" s="38">
        <v>16</v>
      </c>
      <c r="C185" s="35">
        <f t="shared" si="6"/>
        <v>177</v>
      </c>
      <c r="D185" s="35">
        <f t="shared" si="5"/>
        <v>47.693026631911998</v>
      </c>
      <c r="E185" t="s">
        <v>200</v>
      </c>
      <c r="F185" s="26"/>
      <c r="G185" s="26"/>
      <c r="H185" s="26"/>
      <c r="I185" s="26"/>
      <c r="J185" s="26"/>
      <c r="K185" s="26"/>
    </row>
    <row r="186" spans="1:11" ht="19.5" customHeight="1" x14ac:dyDescent="0.45">
      <c r="A186" s="41">
        <v>44169.794531956017</v>
      </c>
      <c r="B186" s="38">
        <v>17</v>
      </c>
      <c r="C186" s="35">
        <f t="shared" si="6"/>
        <v>178</v>
      </c>
      <c r="D186" s="35">
        <f t="shared" si="5"/>
        <v>18.676104320645717</v>
      </c>
      <c r="E186" t="s">
        <v>201</v>
      </c>
      <c r="F186" s="26"/>
      <c r="G186" s="26"/>
      <c r="H186" s="26"/>
      <c r="I186" s="26"/>
      <c r="J186" s="26"/>
      <c r="K186" s="26"/>
    </row>
    <row r="187" spans="1:11" ht="19.5" customHeight="1" x14ac:dyDescent="0.45">
      <c r="A187" s="41">
        <v>44169.794532048611</v>
      </c>
      <c r="B187" s="38">
        <v>17</v>
      </c>
      <c r="C187" s="35">
        <f t="shared" si="6"/>
        <v>179</v>
      </c>
      <c r="D187" s="35">
        <f t="shared" si="5"/>
        <v>10.45098670659107</v>
      </c>
      <c r="E187" t="s">
        <v>202</v>
      </c>
      <c r="F187" s="26"/>
      <c r="G187" s="26"/>
      <c r="H187" s="26"/>
      <c r="I187" s="26"/>
      <c r="J187" s="26"/>
      <c r="K187" s="26"/>
    </row>
    <row r="188" spans="1:11" ht="19.5" customHeight="1" x14ac:dyDescent="0.45">
      <c r="A188" s="41">
        <v>44169.794532141204</v>
      </c>
      <c r="B188" s="38">
        <v>672</v>
      </c>
      <c r="C188" s="35">
        <f t="shared" si="6"/>
        <v>180</v>
      </c>
      <c r="D188" s="35">
        <f t="shared" si="5"/>
        <v>7.4500741289694226</v>
      </c>
      <c r="E188" t="s">
        <v>203</v>
      </c>
      <c r="F188" s="26"/>
      <c r="G188" s="26"/>
      <c r="H188" s="26"/>
      <c r="I188" s="26"/>
      <c r="J188" s="26"/>
      <c r="K188" s="26"/>
    </row>
    <row r="189" spans="1:11" ht="19.5" customHeight="1" x14ac:dyDescent="0.45">
      <c r="A189" s="41">
        <v>44169.794532199077</v>
      </c>
      <c r="B189" s="38">
        <v>17</v>
      </c>
      <c r="C189" s="35">
        <f t="shared" si="6"/>
        <v>181</v>
      </c>
      <c r="D189" s="35">
        <f t="shared" si="5"/>
        <v>5.489411886526848</v>
      </c>
      <c r="E189" t="s">
        <v>204</v>
      </c>
      <c r="F189" s="26"/>
      <c r="G189" s="26"/>
      <c r="H189" s="26"/>
      <c r="I189" s="26"/>
      <c r="J189" s="26"/>
      <c r="K189" s="26"/>
    </row>
    <row r="190" spans="1:11" ht="19.5" customHeight="1" x14ac:dyDescent="0.45">
      <c r="A190" s="41">
        <v>44169.794532280095</v>
      </c>
      <c r="B190" s="38">
        <v>17</v>
      </c>
      <c r="C190" s="35">
        <f t="shared" si="6"/>
        <v>182</v>
      </c>
      <c r="D190" s="35">
        <f t="shared" si="5"/>
        <v>17.513934866755456</v>
      </c>
      <c r="E190" t="s">
        <v>205</v>
      </c>
      <c r="F190" s="26"/>
      <c r="G190" s="26"/>
      <c r="H190" s="26"/>
      <c r="I190" s="26"/>
      <c r="J190" s="26"/>
      <c r="K190" s="26"/>
    </row>
    <row r="191" spans="1:11" ht="19.5" customHeight="1" x14ac:dyDescent="0.45">
      <c r="A191" s="41">
        <v>44169.794532337961</v>
      </c>
      <c r="B191" s="38">
        <v>17</v>
      </c>
      <c r="C191" s="35">
        <f t="shared" si="6"/>
        <v>183</v>
      </c>
      <c r="D191" s="35">
        <f t="shared" si="5"/>
        <v>4.4751862286695987</v>
      </c>
      <c r="E191" t="s">
        <v>206</v>
      </c>
      <c r="F191" s="26"/>
      <c r="G191" s="26"/>
      <c r="H191" s="26"/>
      <c r="I191" s="26"/>
      <c r="J191" s="26"/>
      <c r="K191" s="26"/>
    </row>
    <row r="192" spans="1:11" ht="19.5" customHeight="1" x14ac:dyDescent="0.45">
      <c r="A192" s="41">
        <v>44169.794532430555</v>
      </c>
      <c r="B192" s="38">
        <v>17</v>
      </c>
      <c r="C192" s="35">
        <f t="shared" si="6"/>
        <v>184</v>
      </c>
      <c r="D192" s="35">
        <f t="shared" si="5"/>
        <v>1.5222932449797961</v>
      </c>
      <c r="E192" t="s">
        <v>207</v>
      </c>
      <c r="F192" s="26"/>
      <c r="G192" s="26"/>
      <c r="H192" s="26"/>
      <c r="I192" s="26"/>
      <c r="J192" s="26"/>
      <c r="K192" s="26"/>
    </row>
    <row r="193" spans="1:11" ht="19.5" customHeight="1" x14ac:dyDescent="0.45">
      <c r="A193" s="41">
        <v>44169.794532476852</v>
      </c>
      <c r="B193" s="38">
        <v>17</v>
      </c>
      <c r="C193" s="35">
        <f t="shared" si="6"/>
        <v>185</v>
      </c>
      <c r="D193" s="35">
        <f t="shared" si="5"/>
        <v>0.19417439548400212</v>
      </c>
      <c r="E193" t="s">
        <v>208</v>
      </c>
      <c r="F193" s="26"/>
      <c r="G193" s="26"/>
      <c r="H193" s="26"/>
      <c r="I193" s="26"/>
      <c r="J193" s="26"/>
      <c r="K193" s="26"/>
    </row>
    <row r="194" spans="1:11" ht="19.5" customHeight="1" x14ac:dyDescent="0.45">
      <c r="A194" s="41">
        <v>44169.794532569445</v>
      </c>
      <c r="B194" s="38">
        <v>672</v>
      </c>
      <c r="C194" s="35">
        <f t="shared" si="6"/>
        <v>186</v>
      </c>
      <c r="D194" s="35">
        <f t="shared" si="5"/>
        <v>1.4560624191486151</v>
      </c>
      <c r="E194" t="s">
        <v>209</v>
      </c>
      <c r="F194" s="26"/>
      <c r="G194" s="26"/>
      <c r="H194" s="26"/>
      <c r="I194" s="26"/>
      <c r="J194" s="26"/>
      <c r="K194" s="26"/>
    </row>
    <row r="195" spans="1:11" ht="19.5" customHeight="1" x14ac:dyDescent="0.45">
      <c r="A195" s="41">
        <v>44169.794532615742</v>
      </c>
      <c r="B195" s="38">
        <v>17</v>
      </c>
      <c r="C195" s="35">
        <f t="shared" si="6"/>
        <v>187</v>
      </c>
      <c r="D195" s="35">
        <f t="shared" si="5"/>
        <v>10.412274730499581</v>
      </c>
      <c r="E195" t="s">
        <v>210</v>
      </c>
      <c r="F195" s="26"/>
      <c r="G195" s="26"/>
      <c r="H195" s="26"/>
      <c r="I195" s="26"/>
      <c r="J195" s="26"/>
      <c r="K195" s="26"/>
    </row>
    <row r="196" spans="1:11" ht="19.5" customHeight="1" x14ac:dyDescent="0.45">
      <c r="A196" s="41">
        <v>44169.794532708336</v>
      </c>
      <c r="B196" s="38">
        <v>17</v>
      </c>
      <c r="C196" s="35">
        <f t="shared" si="6"/>
        <v>188</v>
      </c>
      <c r="D196" s="35">
        <f t="shared" si="5"/>
        <v>5.2193161246782562</v>
      </c>
      <c r="E196" t="s">
        <v>211</v>
      </c>
      <c r="F196" s="26"/>
      <c r="G196" s="26"/>
      <c r="H196" s="26"/>
      <c r="I196" s="26"/>
      <c r="J196" s="26"/>
      <c r="K196" s="26"/>
    </row>
    <row r="197" spans="1:11" ht="19.5" customHeight="1" x14ac:dyDescent="0.45">
      <c r="A197" s="41">
        <v>44169.794532766202</v>
      </c>
      <c r="B197" s="39">
        <v>17</v>
      </c>
      <c r="C197" s="35">
        <f t="shared" si="6"/>
        <v>189</v>
      </c>
      <c r="D197" s="35">
        <f t="shared" si="5"/>
        <v>5.7257310277293696</v>
      </c>
      <c r="E197" t="s">
        <v>212</v>
      </c>
      <c r="F197" s="26"/>
      <c r="G197" s="26"/>
      <c r="H197" s="26"/>
      <c r="I197" s="26"/>
      <c r="J197" s="26"/>
      <c r="K197" s="26"/>
    </row>
    <row r="198" spans="1:11" ht="19.5" customHeight="1" x14ac:dyDescent="0.45">
      <c r="A198" s="41">
        <v>44169.794532858796</v>
      </c>
      <c r="B198" s="38">
        <v>17</v>
      </c>
      <c r="C198" s="35">
        <f t="shared" si="6"/>
        <v>190</v>
      </c>
      <c r="D198" s="35">
        <f t="shared" si="5"/>
        <v>6.3224195186281342</v>
      </c>
      <c r="E198" t="s">
        <v>213</v>
      </c>
      <c r="F198" s="26"/>
      <c r="G198" s="26"/>
      <c r="H198" s="26"/>
      <c r="I198" s="26"/>
      <c r="J198" s="26"/>
      <c r="K198" s="26"/>
    </row>
    <row r="199" spans="1:11" ht="19.5" customHeight="1" x14ac:dyDescent="0.45">
      <c r="A199" s="41">
        <v>44169.79453295139</v>
      </c>
      <c r="B199" s="38">
        <v>16</v>
      </c>
      <c r="C199" s="35">
        <f t="shared" si="6"/>
        <v>191</v>
      </c>
      <c r="D199" s="35">
        <f t="shared" si="5"/>
        <v>6.7564695149002052</v>
      </c>
      <c r="E199" t="s">
        <v>214</v>
      </c>
      <c r="F199" s="26"/>
      <c r="G199" s="26"/>
      <c r="H199" s="26"/>
      <c r="I199" s="26"/>
      <c r="J199" s="26"/>
      <c r="K199" s="26"/>
    </row>
    <row r="200" spans="1:11" ht="19.5" customHeight="1" x14ac:dyDescent="0.45">
      <c r="A200" s="41">
        <v>44169.794532997686</v>
      </c>
      <c r="B200" s="38">
        <v>17</v>
      </c>
      <c r="C200" s="35">
        <f t="shared" si="6"/>
        <v>192</v>
      </c>
      <c r="D200" s="35">
        <f t="shared" si="5"/>
        <v>21.140424345407695</v>
      </c>
      <c r="E200" t="s">
        <v>215</v>
      </c>
      <c r="F200" s="26"/>
      <c r="G200" s="26"/>
      <c r="H200" s="26"/>
      <c r="I200" s="26"/>
      <c r="J200" s="26"/>
      <c r="K200" s="26"/>
    </row>
    <row r="201" spans="1:11" ht="19.5" customHeight="1" x14ac:dyDescent="0.45">
      <c r="A201" s="41">
        <v>44169.79453309028</v>
      </c>
      <c r="B201" s="38">
        <v>17</v>
      </c>
      <c r="C201" s="35">
        <f t="shared" si="6"/>
        <v>193</v>
      </c>
      <c r="D201" s="35">
        <f t="shared" ref="D201:D263" si="7">(2/256)*IMABS(E201)</f>
        <v>6.9457714956129628</v>
      </c>
      <c r="E201" t="s">
        <v>216</v>
      </c>
      <c r="F201" s="26"/>
      <c r="G201" s="26"/>
      <c r="H201" s="26"/>
      <c r="I201" s="26"/>
      <c r="J201" s="26"/>
      <c r="K201" s="26"/>
    </row>
    <row r="202" spans="1:11" ht="19.5" customHeight="1" x14ac:dyDescent="0.45">
      <c r="A202" s="41">
        <v>44169.794533148146</v>
      </c>
      <c r="B202" s="38">
        <v>17</v>
      </c>
      <c r="C202" s="35">
        <f t="shared" ref="C202:C263" si="8">(C201)+1</f>
        <v>194</v>
      </c>
      <c r="D202" s="35">
        <f t="shared" si="7"/>
        <v>6.615149483327337</v>
      </c>
      <c r="E202" t="s">
        <v>217</v>
      </c>
      <c r="F202" s="26"/>
      <c r="G202" s="26"/>
      <c r="H202" s="26"/>
      <c r="I202" s="26"/>
      <c r="J202" s="26"/>
      <c r="K202" s="26"/>
    </row>
    <row r="203" spans="1:11" ht="19.5" customHeight="1" x14ac:dyDescent="0.45">
      <c r="A203" s="41">
        <v>44169.794533275461</v>
      </c>
      <c r="B203" s="38">
        <v>16</v>
      </c>
      <c r="C203" s="35">
        <f t="shared" si="8"/>
        <v>195</v>
      </c>
      <c r="D203" s="35">
        <f t="shared" si="7"/>
        <v>6.164007154702456</v>
      </c>
      <c r="E203" t="s">
        <v>218</v>
      </c>
      <c r="F203" s="26"/>
      <c r="G203" s="26"/>
      <c r="H203" s="26"/>
      <c r="I203" s="26"/>
      <c r="J203" s="26"/>
      <c r="K203" s="26"/>
    </row>
    <row r="204" spans="1:11" ht="19.5" customHeight="1" x14ac:dyDescent="0.45">
      <c r="A204" s="41">
        <v>44169.794533379631</v>
      </c>
      <c r="B204" s="38">
        <v>17</v>
      </c>
      <c r="C204" s="35">
        <f t="shared" si="8"/>
        <v>196</v>
      </c>
      <c r="D204" s="35">
        <f t="shared" si="7"/>
        <v>5.7917924813519974</v>
      </c>
      <c r="E204" t="s">
        <v>219</v>
      </c>
      <c r="F204" s="26"/>
      <c r="G204" s="26"/>
      <c r="H204" s="26"/>
      <c r="I204" s="26"/>
      <c r="J204" s="26"/>
      <c r="K204" s="26"/>
    </row>
    <row r="205" spans="1:11" ht="19.5" customHeight="1" x14ac:dyDescent="0.45">
      <c r="A205" s="41">
        <v>44169.794533425928</v>
      </c>
      <c r="B205" s="38">
        <v>17</v>
      </c>
      <c r="C205" s="35">
        <f t="shared" si="8"/>
        <v>197</v>
      </c>
      <c r="D205" s="35">
        <f t="shared" si="7"/>
        <v>9.7858247724914573</v>
      </c>
      <c r="E205" t="s">
        <v>220</v>
      </c>
      <c r="F205" s="26"/>
      <c r="G205" s="26"/>
      <c r="H205" s="26"/>
      <c r="I205" s="26"/>
      <c r="J205" s="26"/>
      <c r="K205" s="26"/>
    </row>
    <row r="206" spans="1:11" ht="19.5" customHeight="1" x14ac:dyDescent="0.45">
      <c r="A206" s="41">
        <v>44169.794533518521</v>
      </c>
      <c r="B206" s="38">
        <v>17</v>
      </c>
      <c r="C206" s="35">
        <f t="shared" si="8"/>
        <v>198</v>
      </c>
      <c r="D206" s="35">
        <f t="shared" si="7"/>
        <v>1.7535658139254309</v>
      </c>
      <c r="E206" t="s">
        <v>221</v>
      </c>
      <c r="F206" s="26"/>
      <c r="G206" s="26"/>
      <c r="H206" s="26"/>
      <c r="I206" s="26"/>
      <c r="J206" s="26"/>
      <c r="K206" s="26"/>
    </row>
    <row r="207" spans="1:11" ht="19.5" customHeight="1" x14ac:dyDescent="0.45">
      <c r="A207" s="41">
        <v>44169.794533564818</v>
      </c>
      <c r="B207" s="38">
        <v>17</v>
      </c>
      <c r="C207" s="35">
        <f t="shared" si="8"/>
        <v>199</v>
      </c>
      <c r="D207" s="35">
        <f t="shared" si="7"/>
        <v>0.20304060122823692</v>
      </c>
      <c r="E207" t="s">
        <v>222</v>
      </c>
      <c r="F207" s="26"/>
      <c r="G207" s="26"/>
      <c r="H207" s="26"/>
      <c r="I207" s="26"/>
      <c r="J207" s="26"/>
      <c r="K207" s="26"/>
    </row>
    <row r="208" spans="1:11" ht="19.5" customHeight="1" x14ac:dyDescent="0.45">
      <c r="A208" s="41">
        <v>44169.794533657405</v>
      </c>
      <c r="B208" s="38">
        <v>17</v>
      </c>
      <c r="C208" s="35">
        <f t="shared" si="8"/>
        <v>200</v>
      </c>
      <c r="D208" s="35">
        <f t="shared" si="7"/>
        <v>1.977090778161037</v>
      </c>
      <c r="E208" t="s">
        <v>223</v>
      </c>
      <c r="F208" s="26"/>
      <c r="G208" s="26"/>
      <c r="H208" s="26"/>
      <c r="I208" s="26"/>
      <c r="J208" s="26"/>
      <c r="K208" s="26"/>
    </row>
    <row r="209" spans="1:11" ht="19.5" customHeight="1" x14ac:dyDescent="0.45">
      <c r="A209" s="41">
        <v>44169.794533703702</v>
      </c>
      <c r="B209" s="38">
        <v>17</v>
      </c>
      <c r="C209" s="35">
        <f t="shared" si="8"/>
        <v>201</v>
      </c>
      <c r="D209" s="35">
        <f t="shared" si="7"/>
        <v>5.4872621237791446</v>
      </c>
      <c r="E209" t="s">
        <v>224</v>
      </c>
      <c r="F209" s="26"/>
      <c r="G209" s="26"/>
      <c r="H209" s="26"/>
      <c r="I209" s="26"/>
      <c r="J209" s="26"/>
      <c r="K209" s="26"/>
    </row>
    <row r="210" spans="1:11" ht="19.5" customHeight="1" x14ac:dyDescent="0.45">
      <c r="A210" s="41">
        <v>44169.794533807872</v>
      </c>
      <c r="B210" s="38">
        <v>17</v>
      </c>
      <c r="C210" s="35">
        <f t="shared" si="8"/>
        <v>202</v>
      </c>
      <c r="D210" s="35">
        <f t="shared" si="7"/>
        <v>15.608347433594826</v>
      </c>
      <c r="E210" t="s">
        <v>225</v>
      </c>
      <c r="F210" s="26"/>
      <c r="G210" s="26"/>
      <c r="H210" s="26"/>
      <c r="I210" s="26"/>
      <c r="J210" s="26"/>
      <c r="K210" s="26"/>
    </row>
    <row r="211" spans="1:11" ht="19.5" customHeight="1" x14ac:dyDescent="0.45">
      <c r="A211" s="41">
        <v>44169.794533854169</v>
      </c>
      <c r="B211" s="38">
        <v>17</v>
      </c>
      <c r="C211" s="35">
        <f t="shared" si="8"/>
        <v>203</v>
      </c>
      <c r="D211" s="35">
        <f t="shared" si="7"/>
        <v>6.2540516588808526</v>
      </c>
      <c r="E211" t="s">
        <v>226</v>
      </c>
      <c r="F211" s="26"/>
      <c r="G211" s="26"/>
      <c r="H211" s="26"/>
      <c r="I211" s="26"/>
      <c r="J211" s="26"/>
      <c r="K211" s="26"/>
    </row>
    <row r="212" spans="1:11" ht="19.5" customHeight="1" x14ac:dyDescent="0.45">
      <c r="A212" s="41">
        <v>44169.794533946762</v>
      </c>
      <c r="B212" s="38">
        <v>17</v>
      </c>
      <c r="C212" s="35">
        <f t="shared" si="8"/>
        <v>204</v>
      </c>
      <c r="D212" s="35">
        <f t="shared" si="7"/>
        <v>9.9436210779075065</v>
      </c>
      <c r="E212" t="s">
        <v>227</v>
      </c>
      <c r="F212" s="26"/>
      <c r="G212" s="26"/>
      <c r="H212" s="26"/>
      <c r="I212" s="26"/>
      <c r="J212" s="26"/>
      <c r="K212" s="26"/>
    </row>
    <row r="213" spans="1:11" ht="19.5" customHeight="1" x14ac:dyDescent="0.45">
      <c r="A213" s="41">
        <v>44169.794533993052</v>
      </c>
      <c r="B213" s="39">
        <v>17</v>
      </c>
      <c r="C213" s="35">
        <f t="shared" si="8"/>
        <v>205</v>
      </c>
      <c r="D213" s="35">
        <f t="shared" si="7"/>
        <v>14.478242144325646</v>
      </c>
      <c r="E213" t="s">
        <v>228</v>
      </c>
      <c r="F213" s="26"/>
      <c r="G213" s="26"/>
      <c r="H213" s="26"/>
      <c r="I213" s="26"/>
      <c r="J213" s="26"/>
      <c r="K213" s="26"/>
    </row>
    <row r="214" spans="1:11" ht="19.5" customHeight="1" x14ac:dyDescent="0.45">
      <c r="A214" s="41">
        <v>44169.794534085646</v>
      </c>
      <c r="B214" s="38">
        <v>17</v>
      </c>
      <c r="C214" s="35">
        <f t="shared" si="8"/>
        <v>206</v>
      </c>
      <c r="D214" s="35">
        <f t="shared" si="7"/>
        <v>24.704842545166436</v>
      </c>
      <c r="E214" t="s">
        <v>229</v>
      </c>
      <c r="F214" s="26"/>
      <c r="G214" s="26"/>
      <c r="H214" s="26"/>
      <c r="I214" s="26"/>
      <c r="J214" s="26"/>
      <c r="K214" s="26"/>
    </row>
    <row r="215" spans="1:11" ht="19.5" customHeight="1" x14ac:dyDescent="0.45">
      <c r="A215" s="41">
        <v>44169.794534131943</v>
      </c>
      <c r="B215" s="38">
        <v>17</v>
      </c>
      <c r="C215" s="35">
        <f t="shared" si="8"/>
        <v>207</v>
      </c>
      <c r="D215" s="35">
        <f t="shared" si="7"/>
        <v>39.824723191317339</v>
      </c>
      <c r="E215" t="s">
        <v>230</v>
      </c>
      <c r="F215" s="26"/>
      <c r="G215" s="26"/>
      <c r="H215" s="26"/>
      <c r="I215" s="26"/>
      <c r="J215" s="26"/>
      <c r="K215" s="26"/>
    </row>
    <row r="216" spans="1:11" ht="19.5" customHeight="1" x14ac:dyDescent="0.45">
      <c r="A216" s="41">
        <v>44169.794534224537</v>
      </c>
      <c r="B216" s="38">
        <v>16</v>
      </c>
      <c r="C216" s="35">
        <f t="shared" si="8"/>
        <v>208</v>
      </c>
      <c r="D216" s="35">
        <f t="shared" si="7"/>
        <v>12.360609029536096</v>
      </c>
      <c r="E216" t="s">
        <v>231</v>
      </c>
      <c r="F216" s="26"/>
      <c r="G216" s="26"/>
      <c r="H216" s="26"/>
      <c r="I216" s="26"/>
      <c r="J216" s="26"/>
      <c r="K216" s="26"/>
    </row>
    <row r="217" spans="1:11" ht="19.5" customHeight="1" x14ac:dyDescent="0.45">
      <c r="A217" s="41">
        <v>44169.79453428241</v>
      </c>
      <c r="B217" s="38">
        <v>17</v>
      </c>
      <c r="C217" s="35">
        <f t="shared" si="8"/>
        <v>209</v>
      </c>
      <c r="D217" s="35">
        <f t="shared" si="7"/>
        <v>17.740607898349637</v>
      </c>
      <c r="E217" t="s">
        <v>232</v>
      </c>
      <c r="F217" s="26"/>
      <c r="G217" s="26"/>
      <c r="H217" s="26"/>
      <c r="I217" s="26"/>
      <c r="J217" s="26"/>
      <c r="K217" s="26"/>
    </row>
    <row r="218" spans="1:11" ht="19.5" customHeight="1" x14ac:dyDescent="0.45">
      <c r="A218" s="41">
        <v>44169.794534375003</v>
      </c>
      <c r="B218" s="38">
        <v>17</v>
      </c>
      <c r="C218" s="35">
        <f t="shared" si="8"/>
        <v>210</v>
      </c>
      <c r="D218" s="35">
        <f t="shared" si="7"/>
        <v>24.53776903260302</v>
      </c>
      <c r="E218" t="s">
        <v>233</v>
      </c>
      <c r="F218" s="26"/>
      <c r="G218" s="26"/>
      <c r="H218" s="26"/>
      <c r="I218" s="26"/>
      <c r="J218" s="26"/>
      <c r="K218" s="26"/>
    </row>
    <row r="219" spans="1:11" ht="19.5" customHeight="1" x14ac:dyDescent="0.45">
      <c r="A219" s="41">
        <v>44169.794534421293</v>
      </c>
      <c r="B219" s="38">
        <v>17</v>
      </c>
      <c r="C219" s="35">
        <f t="shared" si="8"/>
        <v>211</v>
      </c>
      <c r="D219" s="35">
        <f t="shared" si="7"/>
        <v>42.502084828778798</v>
      </c>
      <c r="E219" t="s">
        <v>234</v>
      </c>
      <c r="F219" s="26"/>
      <c r="G219" s="26"/>
      <c r="H219" s="26"/>
      <c r="I219" s="26"/>
      <c r="J219" s="26"/>
      <c r="K219" s="26"/>
    </row>
    <row r="220" spans="1:11" ht="19.5" customHeight="1" x14ac:dyDescent="0.45">
      <c r="A220" s="41">
        <v>44169.794534513887</v>
      </c>
      <c r="B220" s="38">
        <v>17</v>
      </c>
      <c r="C220" s="35">
        <f t="shared" si="8"/>
        <v>212</v>
      </c>
      <c r="D220" s="35">
        <f t="shared" si="7"/>
        <v>49.635250272079325</v>
      </c>
      <c r="E220" t="s">
        <v>235</v>
      </c>
      <c r="F220" s="26"/>
      <c r="G220" s="26"/>
      <c r="H220" s="26"/>
      <c r="I220" s="26"/>
      <c r="J220" s="26"/>
      <c r="K220" s="26"/>
    </row>
    <row r="221" spans="1:11" ht="19.5" customHeight="1" x14ac:dyDescent="0.45">
      <c r="A221" s="41">
        <v>44169.794534618057</v>
      </c>
      <c r="B221" s="38">
        <v>17</v>
      </c>
      <c r="C221" s="35">
        <f t="shared" si="8"/>
        <v>213</v>
      </c>
      <c r="D221" s="35">
        <f t="shared" si="7"/>
        <v>13.784093212152191</v>
      </c>
      <c r="E221" t="s">
        <v>236</v>
      </c>
      <c r="F221" s="26"/>
      <c r="G221" s="26"/>
      <c r="H221" s="26"/>
      <c r="I221" s="26"/>
      <c r="J221" s="26"/>
      <c r="K221" s="26"/>
    </row>
    <row r="222" spans="1:11" ht="19.5" customHeight="1" x14ac:dyDescent="0.45">
      <c r="A222" s="41">
        <v>44169.794534652778</v>
      </c>
      <c r="B222" s="38">
        <v>17</v>
      </c>
      <c r="C222" s="35">
        <f t="shared" si="8"/>
        <v>214</v>
      </c>
      <c r="D222" s="35">
        <f t="shared" si="7"/>
        <v>19.014996291285332</v>
      </c>
      <c r="E222" t="s">
        <v>237</v>
      </c>
      <c r="F222" s="26"/>
      <c r="G222" s="26"/>
      <c r="H222" s="26"/>
      <c r="I222" s="26"/>
      <c r="J222" s="26"/>
      <c r="K222" s="26"/>
    </row>
    <row r="223" spans="1:11" ht="19.5" customHeight="1" x14ac:dyDescent="0.45">
      <c r="A223" s="41">
        <v>44169.794534745371</v>
      </c>
      <c r="B223" s="38">
        <v>17</v>
      </c>
      <c r="C223" s="35">
        <f t="shared" si="8"/>
        <v>215</v>
      </c>
      <c r="D223" s="35">
        <f t="shared" si="7"/>
        <v>25.956851970456881</v>
      </c>
      <c r="E223" t="s">
        <v>238</v>
      </c>
      <c r="F223" s="26"/>
      <c r="G223" s="26"/>
      <c r="H223" s="26"/>
      <c r="I223" s="26"/>
      <c r="J223" s="26"/>
      <c r="K223" s="26"/>
    </row>
    <row r="224" spans="1:11" ht="19.5" customHeight="1" x14ac:dyDescent="0.45">
      <c r="A224" s="41">
        <v>44169.794534803237</v>
      </c>
      <c r="B224" s="38">
        <v>17</v>
      </c>
      <c r="C224" s="35">
        <f t="shared" si="8"/>
        <v>216</v>
      </c>
      <c r="D224" s="35">
        <f t="shared" si="7"/>
        <v>47.782010127298435</v>
      </c>
      <c r="E224" t="s">
        <v>239</v>
      </c>
      <c r="F224" s="26"/>
      <c r="G224" s="26"/>
      <c r="H224" s="26"/>
      <c r="I224" s="26"/>
      <c r="J224" s="26"/>
      <c r="K224" s="26"/>
    </row>
    <row r="225" spans="1:11" ht="19.5" customHeight="1" x14ac:dyDescent="0.45">
      <c r="A225" s="41">
        <v>44169.794534895831</v>
      </c>
      <c r="B225" s="38">
        <v>16</v>
      </c>
      <c r="C225" s="35">
        <f t="shared" si="8"/>
        <v>217</v>
      </c>
      <c r="D225" s="35">
        <f t="shared" si="7"/>
        <v>41.157226417199496</v>
      </c>
      <c r="E225" t="s">
        <v>240</v>
      </c>
      <c r="F225" s="26"/>
      <c r="G225" s="26"/>
      <c r="H225" s="26"/>
      <c r="I225" s="26"/>
      <c r="J225" s="26"/>
      <c r="K225" s="26"/>
    </row>
    <row r="226" spans="1:11" ht="19.5" customHeight="1" x14ac:dyDescent="0.45">
      <c r="A226" s="41">
        <v>44169.794534942128</v>
      </c>
      <c r="B226" s="38">
        <v>17</v>
      </c>
      <c r="C226" s="35">
        <f t="shared" si="8"/>
        <v>218</v>
      </c>
      <c r="D226" s="35">
        <f t="shared" si="7"/>
        <v>10.461634532659035</v>
      </c>
      <c r="E226" t="s">
        <v>241</v>
      </c>
      <c r="F226" s="26"/>
      <c r="G226" s="26"/>
      <c r="H226" s="26"/>
      <c r="I226" s="26"/>
      <c r="J226" s="26"/>
      <c r="K226" s="26"/>
    </row>
    <row r="227" spans="1:11" ht="19.5" customHeight="1" x14ac:dyDescent="0.45">
      <c r="A227" s="41">
        <v>44169.794535034722</v>
      </c>
      <c r="B227" s="38">
        <v>16</v>
      </c>
      <c r="C227" s="35">
        <f t="shared" si="8"/>
        <v>219</v>
      </c>
      <c r="D227" s="35">
        <f t="shared" si="7"/>
        <v>13.537990973266721</v>
      </c>
      <c r="E227" t="s">
        <v>242</v>
      </c>
      <c r="F227" s="26"/>
      <c r="G227" s="26"/>
      <c r="H227" s="26"/>
      <c r="I227" s="26"/>
      <c r="J227" s="26"/>
      <c r="K227" s="26"/>
    </row>
    <row r="228" spans="1:11" ht="19.5" customHeight="1" x14ac:dyDescent="0.45">
      <c r="A228" s="41">
        <v>44169.794535081019</v>
      </c>
      <c r="B228" s="38">
        <v>16</v>
      </c>
      <c r="C228" s="35">
        <f t="shared" si="8"/>
        <v>220</v>
      </c>
      <c r="D228" s="35">
        <f t="shared" si="7"/>
        <v>17.977858733113706</v>
      </c>
      <c r="E228" t="s">
        <v>243</v>
      </c>
      <c r="F228" s="26"/>
      <c r="G228" s="26"/>
      <c r="H228" s="26"/>
      <c r="I228" s="26"/>
      <c r="J228" s="26"/>
      <c r="K228" s="26"/>
    </row>
    <row r="229" spans="1:11" ht="19.5" customHeight="1" x14ac:dyDescent="0.45">
      <c r="A229" s="41">
        <v>44169.794535173613</v>
      </c>
      <c r="B229" s="38">
        <v>17</v>
      </c>
      <c r="C229" s="35">
        <f t="shared" si="8"/>
        <v>221</v>
      </c>
      <c r="D229" s="35">
        <f t="shared" si="7"/>
        <v>34.572486011823024</v>
      </c>
      <c r="E229" t="s">
        <v>244</v>
      </c>
      <c r="F229" s="26"/>
      <c r="G229" s="26"/>
      <c r="H229" s="26"/>
      <c r="I229" s="26"/>
      <c r="J229" s="26"/>
      <c r="K229" s="26"/>
    </row>
    <row r="230" spans="1:11" ht="19.5" customHeight="1" x14ac:dyDescent="0.45">
      <c r="A230" s="41">
        <v>44169.794535219909</v>
      </c>
      <c r="B230" s="38">
        <v>17</v>
      </c>
      <c r="C230" s="35">
        <f t="shared" si="8"/>
        <v>222</v>
      </c>
      <c r="D230" s="35">
        <f t="shared" si="7"/>
        <v>21.17811995423817</v>
      </c>
      <c r="E230" t="s">
        <v>245</v>
      </c>
      <c r="F230" s="26"/>
      <c r="G230" s="26"/>
      <c r="H230" s="26"/>
      <c r="I230" s="26"/>
      <c r="J230" s="26"/>
      <c r="K230" s="26"/>
    </row>
    <row r="231" spans="1:11" ht="19.5" customHeight="1" x14ac:dyDescent="0.45">
      <c r="A231" s="41">
        <v>44169.794535324072</v>
      </c>
      <c r="B231" s="39">
        <v>16</v>
      </c>
      <c r="C231" s="35">
        <f t="shared" si="8"/>
        <v>223</v>
      </c>
      <c r="D231" s="35">
        <f t="shared" si="7"/>
        <v>4.7752117582517073</v>
      </c>
      <c r="E231" t="s">
        <v>246</v>
      </c>
      <c r="F231" s="26"/>
      <c r="G231" s="26"/>
      <c r="H231" s="26"/>
      <c r="I231" s="26"/>
      <c r="J231" s="26"/>
      <c r="K231" s="26"/>
    </row>
    <row r="232" spans="1:11" ht="19.5" customHeight="1" x14ac:dyDescent="0.45">
      <c r="A232" s="41">
        <v>44169.794535370369</v>
      </c>
      <c r="B232" s="38">
        <v>17</v>
      </c>
      <c r="C232" s="35">
        <f t="shared" si="8"/>
        <v>224</v>
      </c>
      <c r="D232" s="35">
        <f t="shared" si="7"/>
        <v>5.0387130337642496</v>
      </c>
      <c r="E232" t="s">
        <v>247</v>
      </c>
      <c r="F232" s="26"/>
      <c r="G232" s="26"/>
      <c r="H232" s="26"/>
      <c r="I232" s="26"/>
      <c r="J232" s="26"/>
      <c r="K232" s="26"/>
    </row>
    <row r="233" spans="1:11" ht="19.5" customHeight="1" x14ac:dyDescent="0.45">
      <c r="A233" s="41">
        <v>44169.794535462963</v>
      </c>
      <c r="B233" s="38">
        <v>672</v>
      </c>
      <c r="C233" s="35">
        <f t="shared" si="8"/>
        <v>225</v>
      </c>
      <c r="D233" s="35">
        <f t="shared" si="7"/>
        <v>5.7093983279505709</v>
      </c>
      <c r="E233" t="s">
        <v>248</v>
      </c>
      <c r="F233" s="26"/>
      <c r="G233" s="26"/>
      <c r="H233" s="26"/>
      <c r="I233" s="26"/>
      <c r="J233" s="26"/>
      <c r="K233" s="26"/>
    </row>
    <row r="234" spans="1:11" ht="19.5" customHeight="1" x14ac:dyDescent="0.45">
      <c r="A234" s="41">
        <v>44169.794535555557</v>
      </c>
      <c r="B234" s="38">
        <v>17</v>
      </c>
      <c r="C234" s="35">
        <f t="shared" si="8"/>
        <v>226</v>
      </c>
      <c r="D234" s="35">
        <f t="shared" si="7"/>
        <v>8.5537519622064195</v>
      </c>
      <c r="E234" t="s">
        <v>249</v>
      </c>
      <c r="F234" s="26"/>
      <c r="G234" s="26"/>
      <c r="H234" s="26"/>
      <c r="I234" s="26"/>
      <c r="J234" s="26"/>
      <c r="K234" s="26"/>
    </row>
    <row r="235" spans="1:11" ht="19.5" customHeight="1" x14ac:dyDescent="0.45">
      <c r="A235" s="41">
        <v>44169.794535601854</v>
      </c>
      <c r="B235" s="38">
        <v>17</v>
      </c>
      <c r="C235" s="35">
        <f t="shared" si="8"/>
        <v>227</v>
      </c>
      <c r="D235" s="35">
        <f t="shared" si="7"/>
        <v>1.7261896106521977</v>
      </c>
      <c r="E235" t="s">
        <v>250</v>
      </c>
      <c r="F235" s="26"/>
      <c r="G235" s="26"/>
      <c r="H235" s="26"/>
      <c r="I235" s="26"/>
      <c r="J235" s="26"/>
      <c r="K235" s="26"/>
    </row>
    <row r="236" spans="1:11" ht="19.5" customHeight="1" x14ac:dyDescent="0.45">
      <c r="A236" s="41">
        <v>44169.794535694447</v>
      </c>
      <c r="B236" s="38">
        <v>17</v>
      </c>
      <c r="C236" s="35">
        <f t="shared" si="8"/>
        <v>228</v>
      </c>
      <c r="D236" s="35">
        <f t="shared" si="7"/>
        <v>0.34913819045632599</v>
      </c>
      <c r="E236" t="s">
        <v>251</v>
      </c>
      <c r="F236" s="26"/>
      <c r="G236" s="26"/>
      <c r="H236" s="26"/>
      <c r="I236" s="26"/>
      <c r="J236" s="26"/>
      <c r="K236" s="26"/>
    </row>
    <row r="237" spans="1:11" ht="19.5" customHeight="1" x14ac:dyDescent="0.45">
      <c r="A237" s="41">
        <v>44169.794535740744</v>
      </c>
      <c r="B237" s="38">
        <v>16</v>
      </c>
      <c r="C237" s="35">
        <f t="shared" si="8"/>
        <v>229</v>
      </c>
      <c r="D237" s="35">
        <f t="shared" si="7"/>
        <v>1.5070855192036614</v>
      </c>
      <c r="E237" t="s">
        <v>252</v>
      </c>
      <c r="F237" s="26"/>
      <c r="G237" s="26"/>
      <c r="H237" s="26"/>
      <c r="I237" s="26"/>
      <c r="J237" s="26"/>
      <c r="K237" s="26"/>
    </row>
    <row r="238" spans="1:11" ht="19.5" customHeight="1" x14ac:dyDescent="0.45">
      <c r="A238" s="41">
        <v>44169.794535844907</v>
      </c>
      <c r="B238" s="38">
        <v>16</v>
      </c>
      <c r="C238" s="35">
        <f t="shared" si="8"/>
        <v>230</v>
      </c>
      <c r="D238" s="35">
        <f t="shared" si="7"/>
        <v>4.0265605582922399</v>
      </c>
      <c r="E238" t="s">
        <v>253</v>
      </c>
      <c r="F238" s="26"/>
      <c r="G238" s="26"/>
      <c r="H238" s="26"/>
      <c r="I238" s="26"/>
      <c r="J238" s="26"/>
      <c r="K238" s="26"/>
    </row>
    <row r="239" spans="1:11" ht="19.5" customHeight="1" x14ac:dyDescent="0.45">
      <c r="A239" s="41">
        <v>44169.794535891204</v>
      </c>
      <c r="B239" s="38">
        <v>672</v>
      </c>
      <c r="C239" s="35">
        <f t="shared" si="8"/>
        <v>231</v>
      </c>
      <c r="D239" s="35">
        <f t="shared" si="7"/>
        <v>15.635662993166942</v>
      </c>
      <c r="E239" t="s">
        <v>254</v>
      </c>
      <c r="F239" s="26"/>
      <c r="G239" s="26"/>
      <c r="H239" s="26"/>
      <c r="I239" s="26"/>
      <c r="J239" s="26"/>
      <c r="K239" s="26"/>
    </row>
    <row r="240" spans="1:11" ht="19.5" customHeight="1" x14ac:dyDescent="0.45">
      <c r="A240" s="41">
        <v>44169.794535983798</v>
      </c>
      <c r="B240" s="38">
        <v>16</v>
      </c>
      <c r="C240" s="35">
        <f t="shared" si="8"/>
        <v>232</v>
      </c>
      <c r="D240" s="35">
        <f t="shared" si="7"/>
        <v>8.0927981183257351</v>
      </c>
      <c r="E240" t="s">
        <v>255</v>
      </c>
      <c r="F240" s="26"/>
      <c r="G240" s="26"/>
      <c r="H240" s="26"/>
      <c r="I240" s="26"/>
      <c r="J240" s="26"/>
      <c r="K240" s="26"/>
    </row>
    <row r="241" spans="1:11" ht="19.5" customHeight="1" x14ac:dyDescent="0.45">
      <c r="A241" s="41">
        <v>44169.794536030095</v>
      </c>
      <c r="B241" s="38">
        <v>17</v>
      </c>
      <c r="C241" s="35">
        <f t="shared" si="8"/>
        <v>233</v>
      </c>
      <c r="D241" s="35">
        <f t="shared" si="7"/>
        <v>2.6135045296768991</v>
      </c>
      <c r="E241" t="s">
        <v>256</v>
      </c>
      <c r="F241" s="26"/>
      <c r="G241" s="26"/>
      <c r="H241" s="26"/>
      <c r="I241" s="26"/>
      <c r="J241" s="26"/>
      <c r="K241" s="26"/>
    </row>
    <row r="242" spans="1:11" ht="19.5" customHeight="1" x14ac:dyDescent="0.45">
      <c r="A242" s="41">
        <v>44169.794536122688</v>
      </c>
      <c r="B242" s="38">
        <v>17</v>
      </c>
      <c r="C242" s="35">
        <f t="shared" si="8"/>
        <v>234</v>
      </c>
      <c r="D242" s="35">
        <f t="shared" si="7"/>
        <v>3.5562715923294719</v>
      </c>
      <c r="E242" t="s">
        <v>257</v>
      </c>
      <c r="F242" s="26"/>
      <c r="G242" s="26"/>
      <c r="H242" s="26"/>
      <c r="I242" s="26"/>
      <c r="J242" s="26"/>
      <c r="K242" s="26"/>
    </row>
    <row r="243" spans="1:11" ht="19.5" customHeight="1" x14ac:dyDescent="0.45">
      <c r="A243" s="41">
        <v>44169.794536168978</v>
      </c>
      <c r="B243" s="38">
        <v>17</v>
      </c>
      <c r="C243" s="35">
        <f t="shared" si="8"/>
        <v>235</v>
      </c>
      <c r="D243" s="35">
        <f t="shared" si="7"/>
        <v>6.3646294594331891</v>
      </c>
      <c r="E243" t="s">
        <v>258</v>
      </c>
      <c r="F243" s="26"/>
      <c r="G243" s="26"/>
      <c r="H243" s="26"/>
      <c r="I243" s="26"/>
      <c r="J243" s="26"/>
      <c r="K243" s="26"/>
    </row>
    <row r="244" spans="1:11" ht="19.5" customHeight="1" x14ac:dyDescent="0.45">
      <c r="A244" s="41">
        <v>44169.794536273148</v>
      </c>
      <c r="B244" s="38">
        <v>16</v>
      </c>
      <c r="C244" s="35">
        <f t="shared" si="8"/>
        <v>236</v>
      </c>
      <c r="D244" s="35">
        <f t="shared" si="7"/>
        <v>22.248536003572944</v>
      </c>
      <c r="E244" t="s">
        <v>259</v>
      </c>
      <c r="F244" s="26"/>
      <c r="G244" s="26"/>
      <c r="H244" s="26"/>
      <c r="I244" s="26"/>
      <c r="J244" s="26"/>
      <c r="K244" s="26"/>
    </row>
    <row r="245" spans="1:11" ht="19.5" customHeight="1" x14ac:dyDescent="0.45">
      <c r="A245" s="41">
        <v>44169.794536365742</v>
      </c>
      <c r="B245" s="39">
        <v>671</v>
      </c>
      <c r="C245" s="35">
        <f t="shared" si="8"/>
        <v>237</v>
      </c>
      <c r="D245" s="35">
        <f t="shared" si="7"/>
        <v>6.6726544738276514</v>
      </c>
      <c r="E245" t="s">
        <v>260</v>
      </c>
      <c r="F245" s="26"/>
      <c r="G245" s="26"/>
      <c r="H245" s="26"/>
      <c r="I245" s="26"/>
      <c r="J245" s="26"/>
      <c r="K245" s="26"/>
    </row>
    <row r="246" spans="1:11" ht="19.5" customHeight="1" x14ac:dyDescent="0.45">
      <c r="A246" s="41">
        <v>44169.794536412039</v>
      </c>
      <c r="B246" s="38">
        <v>16</v>
      </c>
      <c r="C246" s="35">
        <f t="shared" si="8"/>
        <v>238</v>
      </c>
      <c r="D246" s="35">
        <f t="shared" si="7"/>
        <v>1.819470145835582</v>
      </c>
      <c r="E246" t="s">
        <v>261</v>
      </c>
      <c r="F246" s="26"/>
      <c r="G246" s="26"/>
      <c r="H246" s="26"/>
      <c r="I246" s="26"/>
      <c r="J246" s="26"/>
      <c r="K246" s="26"/>
    </row>
    <row r="247" spans="1:11" ht="19.5" customHeight="1" x14ac:dyDescent="0.45">
      <c r="A247" s="41">
        <v>44169.794536504633</v>
      </c>
      <c r="B247" s="38">
        <v>16</v>
      </c>
      <c r="C247" s="35">
        <f t="shared" si="8"/>
        <v>239</v>
      </c>
      <c r="D247" s="35">
        <f t="shared" si="7"/>
        <v>1.7145901145837859</v>
      </c>
      <c r="E247" t="s">
        <v>262</v>
      </c>
      <c r="F247" s="26"/>
      <c r="G247" s="26"/>
      <c r="H247" s="26"/>
      <c r="I247" s="26"/>
      <c r="J247" s="26"/>
      <c r="K247" s="26"/>
    </row>
    <row r="248" spans="1:11" ht="19.5" customHeight="1" x14ac:dyDescent="0.45">
      <c r="A248" s="41">
        <v>44169.794536550929</v>
      </c>
      <c r="B248" s="38">
        <v>17</v>
      </c>
      <c r="C248" s="35">
        <f t="shared" si="8"/>
        <v>240</v>
      </c>
      <c r="D248" s="35">
        <f t="shared" si="7"/>
        <v>2.0624549773359782</v>
      </c>
      <c r="E248" t="s">
        <v>263</v>
      </c>
      <c r="F248" s="26"/>
      <c r="G248" s="26"/>
      <c r="H248" s="26"/>
      <c r="I248" s="26"/>
      <c r="J248" s="26"/>
      <c r="K248" s="26"/>
    </row>
    <row r="249" spans="1:11" ht="19.5" customHeight="1" x14ac:dyDescent="0.45">
      <c r="A249" s="41">
        <v>44169.794536643516</v>
      </c>
      <c r="B249" s="38">
        <v>17</v>
      </c>
      <c r="C249" s="35">
        <f t="shared" si="8"/>
        <v>241</v>
      </c>
      <c r="D249" s="35">
        <f t="shared" si="7"/>
        <v>4.7198173972473239</v>
      </c>
      <c r="E249" t="s">
        <v>264</v>
      </c>
      <c r="F249" s="26"/>
      <c r="G249" s="26"/>
      <c r="H249" s="26"/>
      <c r="I249" s="26"/>
      <c r="J249" s="26"/>
      <c r="K249" s="26"/>
    </row>
    <row r="250" spans="1:11" ht="19.5" customHeight="1" x14ac:dyDescent="0.45">
      <c r="A250" s="41">
        <v>44169.794536689813</v>
      </c>
      <c r="B250" s="38">
        <v>17</v>
      </c>
      <c r="C250" s="35">
        <f t="shared" si="8"/>
        <v>242</v>
      </c>
      <c r="D250" s="35">
        <f t="shared" si="7"/>
        <v>0.30965348702695866</v>
      </c>
      <c r="E250" t="s">
        <v>265</v>
      </c>
      <c r="F250" s="26"/>
      <c r="G250" s="26"/>
      <c r="H250" s="26"/>
      <c r="I250" s="26"/>
      <c r="J250" s="26"/>
      <c r="K250" s="26"/>
    </row>
    <row r="251" spans="1:11" ht="19.5" customHeight="1" x14ac:dyDescent="0.45">
      <c r="A251" s="41">
        <v>44169.794536793983</v>
      </c>
      <c r="B251" s="38">
        <v>17</v>
      </c>
      <c r="C251" s="35">
        <f t="shared" si="8"/>
        <v>243</v>
      </c>
      <c r="D251" s="35">
        <f t="shared" si="7"/>
        <v>0.52202754279289343</v>
      </c>
      <c r="E251" t="s">
        <v>266</v>
      </c>
      <c r="F251" s="26"/>
      <c r="G251" s="26"/>
      <c r="H251" s="26"/>
      <c r="I251" s="26"/>
      <c r="J251" s="26"/>
      <c r="K251" s="26"/>
    </row>
    <row r="252" spans="1:11" ht="19.5" customHeight="1" x14ac:dyDescent="0.45">
      <c r="A252" s="41">
        <v>44169.79453684028</v>
      </c>
      <c r="B252" s="38">
        <v>17</v>
      </c>
      <c r="C252" s="35">
        <f t="shared" si="8"/>
        <v>244</v>
      </c>
      <c r="D252" s="35">
        <f t="shared" si="7"/>
        <v>1.1341064563815313</v>
      </c>
      <c r="E252" t="s">
        <v>267</v>
      </c>
      <c r="F252" s="26"/>
      <c r="G252" s="26"/>
      <c r="H252" s="26"/>
      <c r="I252" s="26"/>
      <c r="J252" s="26"/>
      <c r="K252" s="26"/>
    </row>
    <row r="253" spans="1:11" ht="19.5" customHeight="1" x14ac:dyDescent="0.45">
      <c r="A253" s="41">
        <v>44169.794536932874</v>
      </c>
      <c r="B253" s="38">
        <v>17</v>
      </c>
      <c r="C253" s="35">
        <f t="shared" si="8"/>
        <v>245</v>
      </c>
      <c r="D253" s="35">
        <f t="shared" si="7"/>
        <v>3.3357834086649967</v>
      </c>
      <c r="E253" t="s">
        <v>268</v>
      </c>
      <c r="F253" s="26"/>
      <c r="G253" s="26"/>
      <c r="H253" s="26"/>
      <c r="I253" s="26"/>
      <c r="J253" s="26"/>
      <c r="K253" s="26"/>
    </row>
    <row r="254" spans="1:11" ht="19.5" customHeight="1" x14ac:dyDescent="0.45">
      <c r="A254" s="41">
        <v>44169.794536979163</v>
      </c>
      <c r="B254" s="38">
        <v>17</v>
      </c>
      <c r="C254" s="35">
        <f t="shared" si="8"/>
        <v>246</v>
      </c>
      <c r="D254" s="35">
        <f t="shared" si="7"/>
        <v>29.978376081017711</v>
      </c>
      <c r="E254" t="s">
        <v>269</v>
      </c>
      <c r="F254" s="26"/>
      <c r="G254" s="26"/>
      <c r="H254" s="26"/>
      <c r="I254" s="26"/>
      <c r="J254" s="26"/>
      <c r="K254" s="26"/>
    </row>
    <row r="255" spans="1:11" ht="19.5" customHeight="1" x14ac:dyDescent="0.45">
      <c r="A255" s="41">
        <v>44169.794537071757</v>
      </c>
      <c r="B255" s="38">
        <v>17</v>
      </c>
      <c r="C255" s="35">
        <f t="shared" si="8"/>
        <v>247</v>
      </c>
      <c r="D255" s="35">
        <f t="shared" si="7"/>
        <v>5.2112246298562201</v>
      </c>
      <c r="E255" t="s">
        <v>270</v>
      </c>
      <c r="F255" s="26"/>
      <c r="G255" s="26"/>
      <c r="H255" s="26"/>
      <c r="I255" s="26"/>
      <c r="J255" s="26"/>
      <c r="K255" s="26"/>
    </row>
    <row r="256" spans="1:11" ht="19.5" customHeight="1" x14ac:dyDescent="0.45">
      <c r="A256" s="41">
        <v>44169.794537118054</v>
      </c>
      <c r="B256" s="38">
        <v>16</v>
      </c>
      <c r="C256" s="35">
        <f t="shared" si="8"/>
        <v>248</v>
      </c>
      <c r="D256" s="35">
        <f t="shared" si="7"/>
        <v>1.9759197815906167</v>
      </c>
      <c r="E256" t="s">
        <v>271</v>
      </c>
      <c r="F256" s="26"/>
      <c r="G256" s="26"/>
      <c r="H256" s="26"/>
      <c r="I256" s="26"/>
      <c r="J256" s="26"/>
      <c r="K256" s="26"/>
    </row>
    <row r="257" spans="1:11" ht="19.5" customHeight="1" x14ac:dyDescent="0.45">
      <c r="A257" s="41">
        <v>44169.794537222224</v>
      </c>
      <c r="B257" s="38">
        <v>17</v>
      </c>
      <c r="C257" s="35">
        <f t="shared" si="8"/>
        <v>249</v>
      </c>
      <c r="D257" s="35">
        <f t="shared" si="7"/>
        <v>2.2286609518910878</v>
      </c>
      <c r="E257" t="s">
        <v>272</v>
      </c>
      <c r="F257" s="26"/>
      <c r="G257" s="26"/>
      <c r="H257" s="26"/>
      <c r="I257" s="26"/>
      <c r="J257" s="26"/>
      <c r="K257" s="26"/>
    </row>
    <row r="258" spans="1:11" ht="19.5" customHeight="1" x14ac:dyDescent="0.45">
      <c r="A258" s="41">
        <v>44169.794537314818</v>
      </c>
      <c r="B258" s="38">
        <v>17</v>
      </c>
      <c r="C258" s="35">
        <f t="shared" si="8"/>
        <v>250</v>
      </c>
      <c r="D258" s="35">
        <f t="shared" si="7"/>
        <v>4.6861325812024202</v>
      </c>
      <c r="E258" t="s">
        <v>273</v>
      </c>
      <c r="F258" s="26"/>
      <c r="G258" s="26"/>
      <c r="H258" s="26"/>
      <c r="I258" s="26"/>
      <c r="J258" s="26"/>
      <c r="K258" s="26"/>
    </row>
    <row r="259" spans="1:11" ht="19.5" customHeight="1" x14ac:dyDescent="0.45">
      <c r="A259" s="41">
        <v>44169.794537361115</v>
      </c>
      <c r="B259" s="38">
        <v>16</v>
      </c>
      <c r="C259" s="35">
        <f t="shared" si="8"/>
        <v>251</v>
      </c>
      <c r="D259" s="35">
        <f t="shared" si="7"/>
        <v>63.131697760514299</v>
      </c>
      <c r="E259" t="s">
        <v>274</v>
      </c>
      <c r="F259" s="26"/>
      <c r="G259" s="26"/>
      <c r="H259" s="26"/>
      <c r="I259" s="26"/>
      <c r="J259" s="26"/>
      <c r="K259" s="26"/>
    </row>
    <row r="260" spans="1:11" ht="19.5" customHeight="1" x14ac:dyDescent="0.45">
      <c r="A260" s="41">
        <v>44169.794537453701</v>
      </c>
      <c r="B260" s="38">
        <v>17</v>
      </c>
      <c r="C260" s="35">
        <f t="shared" si="8"/>
        <v>252</v>
      </c>
      <c r="D260" s="35">
        <f t="shared" si="7"/>
        <v>4.0410277279505884</v>
      </c>
      <c r="E260" t="s">
        <v>275</v>
      </c>
      <c r="F260" s="26"/>
      <c r="G260" s="26"/>
      <c r="H260" s="26"/>
      <c r="I260" s="26"/>
      <c r="J260" s="26"/>
      <c r="K260" s="26"/>
    </row>
    <row r="261" spans="1:11" ht="19.5" customHeight="1" x14ac:dyDescent="0.45">
      <c r="A261" s="41">
        <v>44169.794537499998</v>
      </c>
      <c r="B261" s="39">
        <v>17</v>
      </c>
      <c r="C261" s="35">
        <f t="shared" si="8"/>
        <v>253</v>
      </c>
      <c r="D261" s="35">
        <f t="shared" si="7"/>
        <v>1.2508356431476682</v>
      </c>
      <c r="E261" t="s">
        <v>276</v>
      </c>
      <c r="F261" s="26"/>
      <c r="G261" s="26"/>
      <c r="H261" s="26"/>
      <c r="I261" s="26"/>
      <c r="J261" s="26"/>
      <c r="K261" s="26"/>
    </row>
    <row r="262" spans="1:11" ht="19.5" customHeight="1" x14ac:dyDescent="0.45">
      <c r="A262" s="41">
        <v>44169.794537592592</v>
      </c>
      <c r="B262" s="38">
        <v>17</v>
      </c>
      <c r="C262" s="35">
        <f t="shared" si="8"/>
        <v>254</v>
      </c>
      <c r="D262" s="35">
        <f t="shared" si="7"/>
        <v>0.84161047014655799</v>
      </c>
      <c r="E262" t="s">
        <v>277</v>
      </c>
      <c r="F262" s="26"/>
      <c r="G262" s="26"/>
      <c r="H262" s="26"/>
      <c r="I262" s="26"/>
      <c r="J262" s="26"/>
      <c r="K262" s="26"/>
    </row>
    <row r="263" spans="1:11" ht="19.5" customHeight="1" x14ac:dyDescent="0.45">
      <c r="A263" s="41">
        <v>44169.794537638889</v>
      </c>
      <c r="B263" s="38">
        <v>17</v>
      </c>
      <c r="C263" s="35">
        <f t="shared" si="8"/>
        <v>255</v>
      </c>
      <c r="D263" s="35">
        <f t="shared" si="7"/>
        <v>1.091608705983856</v>
      </c>
      <c r="E263" t="s">
        <v>278</v>
      </c>
      <c r="F263" s="26"/>
      <c r="G263" s="26"/>
      <c r="H263" s="26"/>
      <c r="I263" s="26"/>
      <c r="J263" s="26"/>
      <c r="K263" s="26"/>
    </row>
    <row r="264" spans="1:11" ht="19.5" customHeight="1" x14ac:dyDescent="0.35">
      <c r="A264" s="41">
        <v>44169.794537731483</v>
      </c>
      <c r="B264" s="38">
        <v>17</v>
      </c>
      <c r="C264" s="35"/>
      <c r="D264" s="34"/>
      <c r="E264" s="34"/>
      <c r="F264" s="26"/>
      <c r="G264" s="26"/>
      <c r="H264" s="26"/>
      <c r="I264" s="26"/>
      <c r="J264" s="26"/>
      <c r="K264" s="26"/>
    </row>
    <row r="265" spans="1:11" ht="19.5" customHeight="1" x14ac:dyDescent="0.35">
      <c r="A265" s="41">
        <v>44169.794537789348</v>
      </c>
      <c r="B265" s="38">
        <v>16</v>
      </c>
      <c r="C265" s="35"/>
      <c r="D265" s="34"/>
      <c r="E265" s="34"/>
      <c r="F265" s="26"/>
      <c r="G265" s="26"/>
      <c r="H265" s="26"/>
      <c r="I265" s="26"/>
      <c r="J265" s="26"/>
      <c r="K265" s="26"/>
    </row>
    <row r="266" spans="1:11" ht="19.5" customHeight="1" x14ac:dyDescent="0.35">
      <c r="A266" s="41">
        <v>44169.794537881942</v>
      </c>
      <c r="B266" s="38">
        <v>16</v>
      </c>
      <c r="C266" s="35"/>
      <c r="D266" s="34"/>
      <c r="E266" s="34"/>
      <c r="F266" s="26"/>
      <c r="G266" s="26"/>
      <c r="H266" s="26"/>
      <c r="I266" s="26"/>
      <c r="J266" s="26"/>
      <c r="K266" s="26"/>
    </row>
    <row r="267" spans="1:11" ht="19.5" customHeight="1" x14ac:dyDescent="0.35">
      <c r="A267" s="41">
        <v>44169.794537928239</v>
      </c>
      <c r="B267" s="38">
        <v>17</v>
      </c>
      <c r="C267" s="35"/>
      <c r="D267" s="34"/>
      <c r="E267" s="34"/>
      <c r="F267" s="26"/>
      <c r="G267" s="26"/>
      <c r="H267" s="26"/>
      <c r="I267" s="26"/>
      <c r="J267" s="26"/>
      <c r="K267" s="26"/>
    </row>
    <row r="268" spans="1:11" ht="19.5" customHeight="1" x14ac:dyDescent="0.35">
      <c r="A268" s="41">
        <v>44169.794538020833</v>
      </c>
      <c r="B268" s="38">
        <v>17</v>
      </c>
      <c r="C268" s="35"/>
      <c r="D268" s="34"/>
      <c r="E268" s="34"/>
      <c r="F268" s="26"/>
      <c r="G268" s="26"/>
      <c r="H268" s="26"/>
      <c r="I268" s="26"/>
      <c r="J268" s="26"/>
      <c r="K268" s="26"/>
    </row>
    <row r="269" spans="1:11" ht="19.5" customHeight="1" x14ac:dyDescent="0.35">
      <c r="A269" s="41">
        <v>44169.79453806713</v>
      </c>
      <c r="B269" s="38">
        <v>16</v>
      </c>
      <c r="C269" s="35"/>
      <c r="D269" s="34"/>
      <c r="E269" s="34"/>
      <c r="F269" s="26"/>
      <c r="G269" s="26"/>
      <c r="H269" s="26"/>
      <c r="I269" s="26"/>
      <c r="J269" s="26"/>
      <c r="K269" s="26"/>
    </row>
    <row r="270" spans="1:11" ht="19.5" customHeight="1" x14ac:dyDescent="0.35">
      <c r="A270" s="41">
        <v>44169.7945381713</v>
      </c>
      <c r="B270" s="38">
        <v>17</v>
      </c>
      <c r="C270" s="35"/>
      <c r="D270" s="34"/>
      <c r="E270" s="34"/>
      <c r="F270" s="26"/>
      <c r="G270" s="26"/>
      <c r="H270" s="26"/>
      <c r="I270" s="26"/>
      <c r="J270" s="26"/>
      <c r="K270" s="26"/>
    </row>
    <row r="271" spans="1:11" ht="19.5" customHeight="1" x14ac:dyDescent="0.35">
      <c r="A271" s="41">
        <v>44169.794538217589</v>
      </c>
      <c r="B271" s="38">
        <v>17</v>
      </c>
      <c r="C271" s="35"/>
      <c r="D271" s="34"/>
      <c r="E271" s="34"/>
      <c r="F271" s="26"/>
      <c r="G271" s="26"/>
      <c r="H271" s="26"/>
      <c r="I271" s="26"/>
      <c r="J271" s="26"/>
      <c r="K271" s="26"/>
    </row>
    <row r="272" spans="1:11" ht="19.5" customHeight="1" x14ac:dyDescent="0.35">
      <c r="A272" s="41">
        <v>44169.794538310183</v>
      </c>
      <c r="B272" s="38">
        <v>17</v>
      </c>
      <c r="C272" s="35"/>
      <c r="D272" s="34"/>
      <c r="E272" s="34"/>
      <c r="F272" s="26"/>
      <c r="G272" s="26"/>
      <c r="H272" s="26"/>
      <c r="I272" s="26"/>
      <c r="J272" s="26"/>
      <c r="K272" s="26"/>
    </row>
    <row r="273" spans="1:11" ht="19.5" customHeight="1" x14ac:dyDescent="0.35">
      <c r="A273" s="41">
        <v>44169.79453835648</v>
      </c>
      <c r="B273" s="38">
        <v>16</v>
      </c>
      <c r="C273" s="35"/>
      <c r="D273" s="34"/>
      <c r="E273" s="34"/>
      <c r="F273" s="26"/>
      <c r="G273" s="26"/>
      <c r="H273" s="26"/>
      <c r="I273" s="26"/>
      <c r="J273" s="26"/>
      <c r="K273" s="26"/>
    </row>
    <row r="274" spans="1:11" ht="19.5" customHeight="1" x14ac:dyDescent="0.35">
      <c r="A274" s="41">
        <v>44169.794538449074</v>
      </c>
      <c r="B274" s="38">
        <v>17</v>
      </c>
      <c r="C274" s="35"/>
      <c r="D274" s="34"/>
      <c r="E274" s="34"/>
      <c r="F274" s="26"/>
      <c r="G274" s="26"/>
      <c r="H274" s="26"/>
      <c r="I274" s="26"/>
      <c r="J274" s="26"/>
      <c r="K274" s="26"/>
    </row>
    <row r="275" spans="1:11" ht="19.5" customHeight="1" x14ac:dyDescent="0.35">
      <c r="A275" s="41">
        <v>44169.794538495371</v>
      </c>
      <c r="B275" s="38">
        <v>17</v>
      </c>
      <c r="C275" s="35"/>
      <c r="D275" s="34"/>
      <c r="E275" s="34"/>
      <c r="F275" s="26"/>
      <c r="G275" s="26"/>
      <c r="H275" s="26"/>
      <c r="I275" s="26"/>
      <c r="J275" s="26"/>
      <c r="K275" s="26"/>
    </row>
    <row r="276" spans="1:11" ht="19.5" customHeight="1" x14ac:dyDescent="0.35">
      <c r="A276" s="41">
        <v>44169.794538587965</v>
      </c>
      <c r="B276" s="38">
        <v>17</v>
      </c>
      <c r="C276" s="35"/>
      <c r="D276" s="34"/>
      <c r="E276" s="34"/>
      <c r="F276" s="26"/>
      <c r="G276" s="26"/>
      <c r="H276" s="26"/>
      <c r="I276" s="26"/>
      <c r="J276" s="26"/>
      <c r="K276" s="26"/>
    </row>
    <row r="277" spans="1:11" ht="19.5" customHeight="1" x14ac:dyDescent="0.35">
      <c r="A277" s="41">
        <v>44169.794538634262</v>
      </c>
      <c r="B277" s="39">
        <v>17</v>
      </c>
      <c r="C277" s="36"/>
      <c r="D277" s="34"/>
      <c r="E277" s="34"/>
      <c r="F277" s="26"/>
      <c r="G277" s="26"/>
      <c r="H277" s="26"/>
      <c r="I277" s="26"/>
      <c r="J277" s="26"/>
      <c r="K277" s="26"/>
    </row>
    <row r="278" spans="1:11" ht="19.5" customHeight="1" x14ac:dyDescent="0.35">
      <c r="A278" s="41">
        <v>44169.794538738424</v>
      </c>
      <c r="B278" s="38">
        <v>16</v>
      </c>
      <c r="C278" s="35"/>
      <c r="D278" s="34"/>
      <c r="E278" s="34"/>
      <c r="F278" s="26"/>
      <c r="G278" s="26"/>
      <c r="H278" s="26"/>
      <c r="I278" s="26"/>
      <c r="J278" s="26"/>
      <c r="K278" s="26"/>
    </row>
    <row r="279" spans="1:11" ht="19.5" customHeight="1" x14ac:dyDescent="0.35">
      <c r="A279" s="41">
        <v>44169.794538784721</v>
      </c>
      <c r="B279" s="38">
        <v>17</v>
      </c>
      <c r="C279" s="35"/>
      <c r="D279" s="34"/>
      <c r="E279" s="34"/>
      <c r="F279" s="26"/>
      <c r="G279" s="26"/>
      <c r="H279" s="26"/>
      <c r="I279" s="26"/>
      <c r="J279" s="26"/>
      <c r="K279" s="26"/>
    </row>
    <row r="280" spans="1:11" ht="19.5" customHeight="1" x14ac:dyDescent="0.35">
      <c r="A280" s="41">
        <v>44169.794538877315</v>
      </c>
      <c r="B280" s="38">
        <v>17</v>
      </c>
      <c r="C280" s="35"/>
      <c r="D280" s="34"/>
      <c r="E280" s="34"/>
      <c r="F280" s="26"/>
      <c r="G280" s="26"/>
      <c r="H280" s="26"/>
      <c r="I280" s="26"/>
      <c r="J280" s="26"/>
      <c r="K280" s="26"/>
    </row>
    <row r="281" spans="1:11" ht="19.5" customHeight="1" x14ac:dyDescent="0.35">
      <c r="A281" s="41">
        <v>44169.794538969909</v>
      </c>
      <c r="B281" s="38">
        <v>16</v>
      </c>
      <c r="C281" s="35"/>
      <c r="D281" s="34"/>
      <c r="E281" s="34"/>
      <c r="F281" s="26"/>
      <c r="G281" s="26"/>
      <c r="H281" s="26"/>
      <c r="I281" s="26"/>
      <c r="J281" s="26"/>
      <c r="K281" s="26"/>
    </row>
    <row r="282" spans="1:11" ht="19.5" customHeight="1" x14ac:dyDescent="0.35">
      <c r="A282" s="41">
        <v>44169.794539016206</v>
      </c>
      <c r="B282" s="38">
        <v>17</v>
      </c>
      <c r="C282" s="35"/>
      <c r="D282" s="34"/>
      <c r="E282" s="34"/>
      <c r="F282" s="26"/>
      <c r="G282" s="26"/>
      <c r="H282" s="26"/>
      <c r="I282" s="26"/>
      <c r="J282" s="26"/>
      <c r="K282" s="26"/>
    </row>
    <row r="283" spans="1:11" ht="19.5" customHeight="1" x14ac:dyDescent="0.35">
      <c r="A283" s="41">
        <v>44169.7945391088</v>
      </c>
      <c r="B283" s="38">
        <v>16</v>
      </c>
      <c r="C283" s="35"/>
      <c r="D283" s="34"/>
      <c r="E283" s="34"/>
      <c r="F283" s="26"/>
      <c r="G283" s="26"/>
      <c r="H283" s="26"/>
      <c r="I283" s="26"/>
      <c r="J283" s="26"/>
      <c r="K283" s="26"/>
    </row>
    <row r="284" spans="1:11" ht="19.5" customHeight="1" x14ac:dyDescent="0.35">
      <c r="A284" s="41">
        <v>44169.794539155089</v>
      </c>
      <c r="B284" s="38">
        <v>17</v>
      </c>
      <c r="C284" s="35"/>
      <c r="D284" s="34"/>
      <c r="E284" s="34"/>
      <c r="F284" s="26"/>
      <c r="G284" s="26"/>
      <c r="H284" s="26"/>
      <c r="I284" s="26"/>
      <c r="J284" s="26"/>
      <c r="K284" s="26"/>
    </row>
    <row r="285" spans="1:11" ht="19.5" customHeight="1" x14ac:dyDescent="0.35">
      <c r="A285" s="41">
        <v>44169.794539259259</v>
      </c>
      <c r="B285" s="38">
        <v>672</v>
      </c>
      <c r="C285" s="35"/>
      <c r="D285" s="34"/>
      <c r="E285" s="34"/>
      <c r="F285" s="26"/>
      <c r="G285" s="26"/>
      <c r="H285" s="26"/>
      <c r="I285" s="26"/>
      <c r="J285" s="26"/>
      <c r="K285" s="26"/>
    </row>
    <row r="286" spans="1:11" ht="19.5" customHeight="1" x14ac:dyDescent="0.35">
      <c r="A286" s="41">
        <v>44169.794539305556</v>
      </c>
      <c r="B286" s="38">
        <v>17</v>
      </c>
      <c r="C286" s="35"/>
      <c r="D286" s="34"/>
      <c r="E286" s="34"/>
      <c r="F286" s="26"/>
      <c r="G286" s="26"/>
      <c r="H286" s="26"/>
      <c r="I286" s="26"/>
      <c r="J286" s="26"/>
      <c r="K286" s="26"/>
    </row>
    <row r="287" spans="1:11" ht="19.5" customHeight="1" x14ac:dyDescent="0.35">
      <c r="A287" s="41">
        <v>44169.79453939815</v>
      </c>
      <c r="B287" s="38">
        <v>17</v>
      </c>
      <c r="C287" s="35"/>
      <c r="D287" s="34"/>
      <c r="E287" s="34"/>
      <c r="F287" s="26"/>
      <c r="G287" s="26"/>
      <c r="H287" s="26"/>
      <c r="I287" s="26"/>
      <c r="J287" s="26"/>
      <c r="K287" s="26"/>
    </row>
    <row r="288" spans="1:11" ht="19.5" customHeight="1" x14ac:dyDescent="0.35">
      <c r="A288" s="41">
        <v>44169.794539444447</v>
      </c>
      <c r="B288" s="38">
        <v>17</v>
      </c>
      <c r="C288" s="35"/>
      <c r="D288" s="34"/>
      <c r="E288" s="34"/>
      <c r="F288" s="26"/>
      <c r="G288" s="26"/>
      <c r="H288" s="26"/>
      <c r="I288" s="26"/>
      <c r="J288" s="26"/>
      <c r="K288" s="26"/>
    </row>
    <row r="289" spans="1:11" ht="19.5" customHeight="1" x14ac:dyDescent="0.35">
      <c r="A289" s="41">
        <v>44169.794539537033</v>
      </c>
      <c r="B289" s="38">
        <v>17</v>
      </c>
      <c r="C289" s="35"/>
      <c r="D289" s="34"/>
      <c r="E289" s="34"/>
      <c r="F289" s="26"/>
      <c r="G289" s="26"/>
      <c r="H289" s="26"/>
      <c r="I289" s="26"/>
      <c r="J289" s="26"/>
      <c r="K289" s="26"/>
    </row>
    <row r="290" spans="1:11" ht="19.5" customHeight="1" x14ac:dyDescent="0.35">
      <c r="A290" s="41">
        <v>44169.79453958333</v>
      </c>
      <c r="B290" s="38">
        <v>17</v>
      </c>
      <c r="C290" s="35"/>
      <c r="D290" s="34"/>
      <c r="E290" s="34"/>
      <c r="F290" s="26"/>
      <c r="G290" s="26"/>
      <c r="H290" s="26"/>
      <c r="I290" s="26"/>
      <c r="J290" s="26"/>
      <c r="K290" s="26"/>
    </row>
    <row r="291" spans="1:11" ht="19.5" customHeight="1" x14ac:dyDescent="0.35">
      <c r="A291" s="41">
        <v>44169.794539675924</v>
      </c>
      <c r="B291" s="38">
        <v>672</v>
      </c>
      <c r="C291" s="35"/>
      <c r="D291" s="34"/>
      <c r="E291" s="34"/>
      <c r="F291" s="26"/>
      <c r="G291" s="26"/>
      <c r="H291" s="26"/>
      <c r="I291" s="26"/>
      <c r="J291" s="26"/>
      <c r="K291" s="26"/>
    </row>
    <row r="292" spans="1:11" ht="19.5" customHeight="1" x14ac:dyDescent="0.35">
      <c r="A292" s="41">
        <v>44169.794539780094</v>
      </c>
      <c r="B292" s="38">
        <v>16</v>
      </c>
      <c r="C292" s="35"/>
      <c r="D292" s="34"/>
      <c r="E292" s="34"/>
      <c r="F292" s="26"/>
      <c r="G292" s="26"/>
      <c r="H292" s="26"/>
      <c r="I292" s="26"/>
      <c r="J292" s="26"/>
      <c r="K292" s="26"/>
    </row>
    <row r="293" spans="1:11" ht="19.5" customHeight="1" x14ac:dyDescent="0.35">
      <c r="A293" s="41">
        <v>44169.794539826391</v>
      </c>
      <c r="B293" s="38">
        <v>17</v>
      </c>
      <c r="C293" s="35"/>
      <c r="D293" s="34"/>
      <c r="E293" s="34"/>
      <c r="F293" s="26"/>
      <c r="G293" s="26"/>
      <c r="H293" s="26"/>
      <c r="I293" s="26"/>
      <c r="J293" s="26"/>
      <c r="K293" s="26"/>
    </row>
    <row r="294" spans="1:11" ht="19.5" customHeight="1" x14ac:dyDescent="0.35">
      <c r="A294" s="41">
        <v>44169.794539918985</v>
      </c>
      <c r="B294" s="39">
        <v>17</v>
      </c>
      <c r="C294" s="36"/>
      <c r="D294" s="34"/>
      <c r="E294" s="34"/>
      <c r="F294" s="26"/>
      <c r="G294" s="26"/>
      <c r="H294" s="26"/>
      <c r="I294" s="26"/>
      <c r="J294" s="26"/>
      <c r="K294" s="26"/>
    </row>
    <row r="295" spans="1:11" ht="19.5" customHeight="1" x14ac:dyDescent="0.35">
      <c r="A295" s="41">
        <v>44169.794539965274</v>
      </c>
      <c r="B295" s="38">
        <v>17</v>
      </c>
      <c r="C295" s="35"/>
      <c r="D295" s="34"/>
      <c r="E295" s="34"/>
      <c r="F295" s="26"/>
      <c r="G295" s="26"/>
      <c r="H295" s="26"/>
      <c r="I295" s="26"/>
      <c r="J295" s="26"/>
      <c r="K295" s="26"/>
    </row>
    <row r="296" spans="1:11" ht="19.5" customHeight="1" x14ac:dyDescent="0.35">
      <c r="A296" s="41">
        <v>44169.794540057868</v>
      </c>
      <c r="B296" s="38">
        <v>17</v>
      </c>
      <c r="C296" s="35"/>
      <c r="D296" s="34"/>
      <c r="E296" s="34"/>
      <c r="F296" s="26"/>
      <c r="G296" s="26"/>
      <c r="H296" s="26"/>
      <c r="I296" s="26"/>
      <c r="J296" s="26"/>
      <c r="K296" s="26"/>
    </row>
    <row r="297" spans="1:11" ht="19.5" customHeight="1" x14ac:dyDescent="0.35">
      <c r="A297" s="41">
        <v>44169.794540150462</v>
      </c>
      <c r="B297" s="38">
        <v>672</v>
      </c>
      <c r="C297" s="35"/>
      <c r="D297" s="34"/>
      <c r="E297" s="34"/>
      <c r="F297" s="26"/>
      <c r="G297" s="26"/>
      <c r="H297" s="26"/>
      <c r="I297" s="26"/>
      <c r="J297" s="26"/>
      <c r="K297" s="26"/>
    </row>
    <row r="298" spans="1:11" ht="19.5" customHeight="1" x14ac:dyDescent="0.35">
      <c r="A298" s="41">
        <v>44169.794540208335</v>
      </c>
      <c r="B298" s="38">
        <v>17</v>
      </c>
      <c r="C298" s="35"/>
      <c r="D298" s="34"/>
      <c r="E298" s="34"/>
      <c r="F298" s="26"/>
      <c r="G298" s="26"/>
      <c r="H298" s="26"/>
      <c r="I298" s="26"/>
      <c r="J298" s="26"/>
      <c r="K298" s="26"/>
    </row>
    <row r="299" spans="1:11" ht="19.5" customHeight="1" x14ac:dyDescent="0.35">
      <c r="A299" s="41">
        <v>44169.794540300929</v>
      </c>
      <c r="B299" s="38">
        <v>17</v>
      </c>
      <c r="C299" s="35"/>
      <c r="D299" s="34"/>
      <c r="E299" s="34"/>
      <c r="F299" s="26"/>
      <c r="G299" s="26"/>
      <c r="H299" s="26"/>
      <c r="I299" s="26"/>
      <c r="J299" s="26"/>
      <c r="K299" s="26"/>
    </row>
    <row r="300" spans="1:11" ht="19.5" customHeight="1" x14ac:dyDescent="0.35">
      <c r="A300" s="41">
        <v>44169.794540347226</v>
      </c>
      <c r="B300" s="38">
        <v>17</v>
      </c>
      <c r="C300" s="35"/>
      <c r="D300" s="34"/>
      <c r="E300" s="34"/>
      <c r="F300" s="26"/>
      <c r="G300" s="26"/>
      <c r="H300" s="26"/>
      <c r="I300" s="26"/>
      <c r="J300" s="26"/>
      <c r="K300" s="26"/>
    </row>
    <row r="301" spans="1:11" ht="19.5" customHeight="1" x14ac:dyDescent="0.35">
      <c r="A301" s="41">
        <v>44169.794540439812</v>
      </c>
      <c r="B301" s="38">
        <v>17</v>
      </c>
      <c r="C301" s="35"/>
      <c r="D301" s="34"/>
      <c r="E301" s="34"/>
      <c r="F301" s="26"/>
      <c r="G301" s="26"/>
      <c r="H301" s="26"/>
      <c r="I301" s="26"/>
      <c r="J301" s="26"/>
      <c r="K301" s="26"/>
    </row>
    <row r="302" spans="1:11" ht="19.5" customHeight="1" x14ac:dyDescent="0.35">
      <c r="A302" s="41">
        <v>44169.794540486109</v>
      </c>
      <c r="B302" s="38">
        <v>17</v>
      </c>
      <c r="C302" s="35"/>
      <c r="D302" s="34"/>
      <c r="E302" s="34"/>
      <c r="F302" s="26"/>
      <c r="G302" s="26"/>
      <c r="H302" s="26"/>
      <c r="I302" s="26"/>
      <c r="J302" s="26"/>
      <c r="K302" s="26"/>
    </row>
    <row r="303" spans="1:11" ht="19.5" customHeight="1" x14ac:dyDescent="0.35">
      <c r="A303" s="41">
        <v>44169.794540578703</v>
      </c>
      <c r="B303" s="38">
        <v>17</v>
      </c>
      <c r="C303" s="35"/>
      <c r="D303" s="34"/>
      <c r="E303" s="34"/>
      <c r="F303" s="26"/>
      <c r="G303" s="26"/>
      <c r="H303" s="26"/>
      <c r="I303" s="26"/>
      <c r="J303" s="26"/>
      <c r="K303" s="26"/>
    </row>
    <row r="304" spans="1:11" ht="19.5" customHeight="1" x14ac:dyDescent="0.35">
      <c r="A304" s="41">
        <v>44169.794540625</v>
      </c>
      <c r="B304" s="38">
        <v>17</v>
      </c>
      <c r="C304" s="35"/>
      <c r="D304" s="34"/>
      <c r="E304" s="34"/>
      <c r="F304" s="26"/>
      <c r="G304" s="26"/>
      <c r="H304" s="26"/>
      <c r="I304" s="26"/>
      <c r="J304" s="26"/>
      <c r="K304" s="26"/>
    </row>
    <row r="305" spans="1:11" ht="19.5" customHeight="1" x14ac:dyDescent="0.35">
      <c r="A305" s="41">
        <v>44169.794540717594</v>
      </c>
      <c r="B305" s="38">
        <v>17</v>
      </c>
      <c r="C305" s="35"/>
      <c r="D305" s="34"/>
      <c r="E305" s="34"/>
      <c r="F305" s="26"/>
      <c r="G305" s="26"/>
      <c r="H305" s="26"/>
      <c r="I305" s="26"/>
      <c r="J305" s="26"/>
      <c r="K305" s="26"/>
    </row>
    <row r="306" spans="1:11" ht="19.5" customHeight="1" x14ac:dyDescent="0.35">
      <c r="A306" s="41">
        <v>44169.79454077546</v>
      </c>
      <c r="B306" s="38">
        <v>16</v>
      </c>
      <c r="C306" s="35"/>
      <c r="D306" s="34"/>
      <c r="E306" s="34"/>
      <c r="F306" s="26"/>
      <c r="G306" s="26"/>
      <c r="H306" s="26"/>
      <c r="I306" s="26"/>
      <c r="J306" s="26"/>
      <c r="K306" s="26"/>
    </row>
    <row r="307" spans="1:11" ht="19.5" customHeight="1" x14ac:dyDescent="0.35">
      <c r="A307" s="41">
        <v>44169.794540868053</v>
      </c>
      <c r="B307" s="38">
        <v>17</v>
      </c>
      <c r="C307" s="35"/>
      <c r="D307" s="34"/>
      <c r="E307" s="34"/>
      <c r="F307" s="26"/>
      <c r="G307" s="26"/>
      <c r="H307" s="26"/>
      <c r="I307" s="26"/>
      <c r="J307" s="26"/>
      <c r="K307" s="26"/>
    </row>
    <row r="308" spans="1:11" ht="19.5" customHeight="1" x14ac:dyDescent="0.35">
      <c r="A308" s="41">
        <v>44169.79454091435</v>
      </c>
      <c r="B308" s="38">
        <v>17</v>
      </c>
      <c r="C308" s="35"/>
      <c r="D308" s="34"/>
      <c r="E308" s="34"/>
      <c r="F308" s="26"/>
      <c r="G308" s="26"/>
      <c r="H308" s="26"/>
      <c r="I308" s="26"/>
      <c r="J308" s="26"/>
      <c r="K308" s="26"/>
    </row>
    <row r="309" spans="1:11" ht="19.5" customHeight="1" x14ac:dyDescent="0.35">
      <c r="A309" s="41">
        <v>44169.794541006944</v>
      </c>
      <c r="B309" s="38">
        <v>16</v>
      </c>
      <c r="C309" s="35"/>
      <c r="D309" s="34"/>
      <c r="E309" s="34"/>
      <c r="F309" s="26"/>
      <c r="G309" s="26"/>
      <c r="H309" s="26"/>
      <c r="I309" s="26"/>
      <c r="J309" s="26"/>
      <c r="K309" s="26"/>
    </row>
    <row r="310" spans="1:11" ht="19.5" customHeight="1" x14ac:dyDescent="0.35">
      <c r="A310" s="41">
        <v>44169.794541053241</v>
      </c>
      <c r="B310" s="38">
        <v>16</v>
      </c>
      <c r="C310" s="35"/>
      <c r="D310" s="34"/>
      <c r="E310" s="34"/>
      <c r="F310" s="26"/>
      <c r="G310" s="26"/>
      <c r="H310" s="26"/>
      <c r="I310" s="26"/>
      <c r="J310" s="26"/>
      <c r="K310" s="26"/>
    </row>
    <row r="311" spans="1:11" ht="19.5" customHeight="1" x14ac:dyDescent="0.35">
      <c r="A311" s="41">
        <v>44169.794541145835</v>
      </c>
      <c r="B311" s="38">
        <v>17</v>
      </c>
      <c r="C311" s="35"/>
      <c r="D311" s="34"/>
      <c r="E311" s="34"/>
      <c r="F311" s="26"/>
      <c r="G311" s="26"/>
      <c r="H311" s="26"/>
      <c r="I311" s="26"/>
      <c r="J311" s="26"/>
      <c r="K311" s="26"/>
    </row>
    <row r="312" spans="1:11" ht="19.5" customHeight="1" x14ac:dyDescent="0.35">
      <c r="A312" s="41">
        <v>44169.794541192132</v>
      </c>
      <c r="B312" s="39">
        <v>16</v>
      </c>
      <c r="C312" s="36"/>
      <c r="D312" s="34"/>
      <c r="E312" s="34"/>
      <c r="F312" s="26"/>
      <c r="G312" s="26"/>
      <c r="H312" s="26"/>
      <c r="I312" s="26"/>
      <c r="J312" s="26"/>
      <c r="K312" s="26"/>
    </row>
    <row r="313" spans="1:11" ht="19.5" customHeight="1" x14ac:dyDescent="0.35">
      <c r="A313" s="41">
        <v>44169.794541296294</v>
      </c>
      <c r="B313" s="38">
        <v>16</v>
      </c>
      <c r="C313" s="35"/>
      <c r="D313" s="34"/>
      <c r="E313" s="34"/>
      <c r="F313" s="26"/>
      <c r="G313" s="26"/>
      <c r="H313" s="26"/>
      <c r="I313" s="26"/>
      <c r="J313" s="26"/>
      <c r="K313" s="26"/>
    </row>
    <row r="314" spans="1:11" ht="19.5" customHeight="1" x14ac:dyDescent="0.35">
      <c r="A314" s="41">
        <v>44169.794541342591</v>
      </c>
      <c r="B314" s="38">
        <v>17</v>
      </c>
      <c r="C314" s="35"/>
      <c r="D314" s="34"/>
      <c r="E314" s="34"/>
      <c r="F314" s="26"/>
      <c r="G314" s="26"/>
      <c r="H314" s="26"/>
      <c r="I314" s="26"/>
      <c r="J314" s="26"/>
      <c r="K314" s="26"/>
    </row>
    <row r="315" spans="1:11" ht="19.5" customHeight="1" x14ac:dyDescent="0.35">
      <c r="A315" s="41">
        <v>44169.79454145833</v>
      </c>
      <c r="B315" s="38">
        <v>17</v>
      </c>
      <c r="C315" s="35"/>
      <c r="D315" s="34"/>
      <c r="E315" s="34"/>
      <c r="F315" s="26"/>
      <c r="G315" s="26"/>
      <c r="H315" s="26"/>
      <c r="I315" s="26"/>
      <c r="J315" s="26"/>
      <c r="K315" s="26"/>
    </row>
    <row r="316" spans="1:11" ht="19.5" customHeight="1" x14ac:dyDescent="0.35">
      <c r="A316" s="41">
        <v>44169.794541481482</v>
      </c>
      <c r="B316" s="38">
        <v>17</v>
      </c>
      <c r="C316" s="35"/>
      <c r="D316" s="34"/>
      <c r="E316" s="34"/>
      <c r="F316" s="26"/>
      <c r="G316" s="26"/>
      <c r="H316" s="26"/>
      <c r="I316" s="26"/>
      <c r="J316" s="26"/>
      <c r="K316" s="26"/>
    </row>
    <row r="317" spans="1:11" ht="19.5" customHeight="1" x14ac:dyDescent="0.35">
      <c r="A317" s="41">
        <v>44169.794541574076</v>
      </c>
      <c r="B317" s="38">
        <v>17</v>
      </c>
      <c r="C317" s="35"/>
      <c r="D317" s="34"/>
      <c r="E317" s="34"/>
      <c r="F317" s="26"/>
      <c r="G317" s="26"/>
      <c r="H317" s="26"/>
      <c r="I317" s="26"/>
      <c r="J317" s="26"/>
      <c r="K317" s="26"/>
    </row>
    <row r="318" spans="1:11" ht="19.5" customHeight="1" x14ac:dyDescent="0.35">
      <c r="A318" s="41">
        <v>44169.79454166667</v>
      </c>
      <c r="B318" s="38">
        <v>17</v>
      </c>
      <c r="C318" s="35"/>
      <c r="D318" s="34"/>
      <c r="E318" s="34"/>
      <c r="F318" s="26"/>
      <c r="G318" s="26"/>
      <c r="H318" s="26"/>
      <c r="I318" s="26"/>
      <c r="J318" s="26"/>
      <c r="K318" s="26"/>
    </row>
    <row r="319" spans="1:11" ht="19.5" customHeight="1" x14ac:dyDescent="0.35">
      <c r="A319" s="41">
        <v>44169.794541724536</v>
      </c>
      <c r="B319" s="38">
        <v>16</v>
      </c>
      <c r="C319" s="35"/>
      <c r="D319" s="34"/>
      <c r="E319" s="34"/>
      <c r="F319" s="26"/>
      <c r="G319" s="26"/>
      <c r="H319" s="26"/>
      <c r="I319" s="26"/>
      <c r="J319" s="26"/>
      <c r="K319" s="26"/>
    </row>
    <row r="320" spans="1:11" ht="19.5" customHeight="1" x14ac:dyDescent="0.35">
      <c r="A320" s="41">
        <v>44169.794541817129</v>
      </c>
      <c r="B320" s="38">
        <v>17</v>
      </c>
      <c r="C320" s="35"/>
      <c r="D320" s="34"/>
      <c r="E320" s="34"/>
      <c r="F320" s="26"/>
      <c r="G320" s="26"/>
      <c r="H320" s="26"/>
      <c r="I320" s="26"/>
      <c r="J320" s="26"/>
      <c r="K320" s="26"/>
    </row>
    <row r="321" spans="1:11" ht="19.5" customHeight="1" x14ac:dyDescent="0.35">
      <c r="A321" s="41">
        <v>44169.794541863426</v>
      </c>
      <c r="B321" s="38">
        <v>16</v>
      </c>
      <c r="C321" s="35"/>
      <c r="D321" s="34"/>
      <c r="E321" s="34"/>
      <c r="F321" s="26"/>
      <c r="G321" s="26"/>
      <c r="H321" s="26"/>
      <c r="I321" s="26"/>
      <c r="J321" s="26"/>
      <c r="K321" s="26"/>
    </row>
    <row r="322" spans="1:11" ht="19.5" customHeight="1" x14ac:dyDescent="0.35">
      <c r="A322" s="41">
        <v>44169.79454195602</v>
      </c>
      <c r="B322" s="38">
        <v>16</v>
      </c>
      <c r="C322" s="35"/>
      <c r="D322" s="34"/>
      <c r="E322" s="34"/>
      <c r="F322" s="26"/>
      <c r="G322" s="26"/>
      <c r="H322" s="26"/>
      <c r="I322" s="26"/>
      <c r="J322" s="26"/>
      <c r="K322" s="26"/>
    </row>
    <row r="323" spans="1:11" ht="19.5" customHeight="1" x14ac:dyDescent="0.35">
      <c r="A323" s="41">
        <v>44169.794542002317</v>
      </c>
      <c r="B323" s="38">
        <v>17</v>
      </c>
      <c r="C323" s="35"/>
      <c r="D323" s="34"/>
      <c r="E323" s="34"/>
      <c r="F323" s="26"/>
      <c r="G323" s="26"/>
      <c r="H323" s="26"/>
      <c r="I323" s="26"/>
      <c r="J323" s="26"/>
      <c r="K323" s="26"/>
    </row>
    <row r="324" spans="1:11" ht="19.5" customHeight="1" x14ac:dyDescent="0.35">
      <c r="A324" s="41">
        <v>44169.794542094911</v>
      </c>
      <c r="B324" s="38">
        <v>17</v>
      </c>
      <c r="C324" s="35"/>
      <c r="D324" s="34"/>
      <c r="E324" s="34"/>
      <c r="F324" s="26"/>
      <c r="G324" s="26"/>
      <c r="H324" s="26"/>
      <c r="I324" s="26"/>
      <c r="J324" s="26"/>
      <c r="K324" s="26"/>
    </row>
    <row r="325" spans="1:11" ht="19.5" customHeight="1" x14ac:dyDescent="0.35">
      <c r="A325" s="41">
        <v>44169.794542141201</v>
      </c>
      <c r="B325" s="38">
        <v>16</v>
      </c>
      <c r="C325" s="35"/>
      <c r="D325" s="34"/>
      <c r="E325" s="34"/>
      <c r="F325" s="26"/>
      <c r="G325" s="26"/>
      <c r="H325" s="26"/>
      <c r="I325" s="26"/>
      <c r="J325" s="26"/>
      <c r="K325" s="26"/>
    </row>
    <row r="326" spans="1:11" ht="19.5" customHeight="1" x14ac:dyDescent="0.35">
      <c r="A326" s="41">
        <v>44169.79454224537</v>
      </c>
      <c r="B326" s="38">
        <v>17</v>
      </c>
      <c r="C326" s="35"/>
      <c r="D326" s="34"/>
      <c r="E326" s="34"/>
      <c r="F326" s="26"/>
      <c r="G326" s="26"/>
      <c r="H326" s="26"/>
      <c r="I326" s="26"/>
      <c r="J326" s="26"/>
      <c r="K326" s="26"/>
    </row>
    <row r="327" spans="1:11" ht="19.5" customHeight="1" x14ac:dyDescent="0.35">
      <c r="A327" s="41">
        <v>44169.794542291667</v>
      </c>
      <c r="B327" s="38">
        <v>17</v>
      </c>
      <c r="C327" s="35"/>
      <c r="D327" s="34"/>
      <c r="E327" s="34"/>
      <c r="F327" s="26"/>
      <c r="G327" s="26"/>
      <c r="H327" s="26"/>
      <c r="I327" s="26"/>
      <c r="J327" s="26"/>
      <c r="K327" s="26"/>
    </row>
    <row r="328" spans="1:11" ht="19.5" customHeight="1" x14ac:dyDescent="0.35">
      <c r="A328" s="41">
        <v>44169.794542384261</v>
      </c>
      <c r="B328" s="39">
        <v>17</v>
      </c>
      <c r="C328" s="36"/>
      <c r="D328" s="34"/>
      <c r="E328" s="34"/>
      <c r="F328" s="26"/>
      <c r="G328" s="26"/>
      <c r="H328" s="26"/>
      <c r="I328" s="26"/>
      <c r="J328" s="26"/>
      <c r="K328" s="26"/>
    </row>
    <row r="329" spans="1:11" ht="19.5" customHeight="1" x14ac:dyDescent="0.35">
      <c r="A329" s="41">
        <v>44169.794542430558</v>
      </c>
      <c r="B329" s="38">
        <v>17</v>
      </c>
      <c r="C329" s="35"/>
      <c r="D329" s="34"/>
      <c r="E329" s="34"/>
      <c r="F329" s="26"/>
      <c r="G329" s="26"/>
      <c r="H329" s="26"/>
      <c r="I329" s="26"/>
      <c r="J329" s="26"/>
      <c r="K329" s="26"/>
    </row>
    <row r="330" spans="1:11" ht="19.5" customHeight="1" x14ac:dyDescent="0.35">
      <c r="A330" s="41">
        <v>44169.794542523145</v>
      </c>
      <c r="B330" s="38">
        <v>17</v>
      </c>
      <c r="C330" s="35"/>
      <c r="D330" s="34"/>
      <c r="E330" s="34"/>
      <c r="F330" s="26"/>
      <c r="G330" s="26"/>
      <c r="H330" s="26"/>
      <c r="I330" s="26"/>
      <c r="J330" s="26"/>
      <c r="K330" s="26"/>
    </row>
    <row r="331" spans="1:11" ht="19.5" customHeight="1" x14ac:dyDescent="0.35">
      <c r="A331" s="41">
        <v>44169.794542569442</v>
      </c>
      <c r="B331" s="38">
        <v>16</v>
      </c>
      <c r="C331" s="35"/>
      <c r="D331" s="34"/>
      <c r="E331" s="34"/>
      <c r="F331" s="26"/>
      <c r="G331" s="26"/>
      <c r="H331" s="26"/>
      <c r="I331" s="26"/>
      <c r="J331" s="26"/>
      <c r="K331" s="26"/>
    </row>
    <row r="332" spans="1:11" ht="19.5" customHeight="1" x14ac:dyDescent="0.35">
      <c r="A332" s="41">
        <v>44169.794542673611</v>
      </c>
      <c r="B332" s="38">
        <v>17</v>
      </c>
      <c r="C332" s="35"/>
      <c r="D332" s="34"/>
      <c r="E332" s="34"/>
      <c r="F332" s="26"/>
      <c r="G332" s="26"/>
      <c r="H332" s="26"/>
      <c r="I332" s="26"/>
      <c r="J332" s="26"/>
      <c r="K332" s="26"/>
    </row>
    <row r="333" spans="1:11" ht="19.5" customHeight="1" x14ac:dyDescent="0.35">
      <c r="A333" s="41">
        <v>44169.794542719908</v>
      </c>
      <c r="B333" s="38">
        <v>17</v>
      </c>
      <c r="C333" s="35"/>
      <c r="D333" s="34"/>
      <c r="E333" s="34"/>
      <c r="F333" s="26"/>
      <c r="G333" s="26"/>
      <c r="H333" s="26"/>
      <c r="I333" s="26"/>
      <c r="J333" s="26"/>
      <c r="K333" s="26"/>
    </row>
    <row r="334" spans="1:11" ht="19.5" customHeight="1" x14ac:dyDescent="0.35">
      <c r="A334" s="41">
        <v>44169.794542812502</v>
      </c>
      <c r="B334" s="38">
        <v>17</v>
      </c>
      <c r="C334" s="35"/>
      <c r="D334" s="34"/>
      <c r="E334" s="34"/>
      <c r="F334" s="26"/>
      <c r="G334" s="26"/>
      <c r="H334" s="26"/>
      <c r="I334" s="26"/>
      <c r="J334" s="26"/>
      <c r="K334" s="26"/>
    </row>
    <row r="335" spans="1:11" ht="19.5" customHeight="1" x14ac:dyDescent="0.35">
      <c r="A335" s="41">
        <v>44169.794542858799</v>
      </c>
      <c r="B335" s="38">
        <v>17</v>
      </c>
      <c r="C335" s="35"/>
      <c r="D335" s="34"/>
      <c r="E335" s="34"/>
      <c r="F335" s="26"/>
      <c r="G335" s="26"/>
      <c r="H335" s="26"/>
      <c r="I335" s="26"/>
      <c r="J335" s="26"/>
      <c r="K335" s="26"/>
    </row>
    <row r="336" spans="1:11" ht="19.5" customHeight="1" x14ac:dyDescent="0.35">
      <c r="A336" s="41">
        <v>44169.794542951386</v>
      </c>
      <c r="B336" s="38">
        <v>17</v>
      </c>
      <c r="C336" s="35"/>
      <c r="D336" s="34"/>
      <c r="E336" s="34"/>
      <c r="F336" s="26"/>
      <c r="G336" s="26"/>
      <c r="H336" s="26"/>
      <c r="I336" s="26"/>
      <c r="J336" s="26"/>
      <c r="K336" s="26"/>
    </row>
    <row r="337" spans="1:11" ht="19.5" customHeight="1" x14ac:dyDescent="0.35">
      <c r="A337" s="41">
        <v>44169.79454304398</v>
      </c>
      <c r="B337" s="38">
        <v>672</v>
      </c>
      <c r="C337" s="35"/>
      <c r="D337" s="34"/>
      <c r="E337" s="34"/>
      <c r="F337" s="26"/>
      <c r="G337" s="26"/>
      <c r="H337" s="26"/>
      <c r="I337" s="26"/>
      <c r="J337" s="26"/>
      <c r="K337" s="26"/>
    </row>
    <row r="338" spans="1:11" ht="19.5" customHeight="1" x14ac:dyDescent="0.35">
      <c r="A338" s="41">
        <v>44169.794543090276</v>
      </c>
      <c r="B338" s="38">
        <v>17</v>
      </c>
      <c r="C338" s="35"/>
      <c r="D338" s="34"/>
      <c r="E338" s="34"/>
      <c r="F338" s="26"/>
      <c r="G338" s="26"/>
      <c r="H338" s="26"/>
      <c r="I338" s="26"/>
      <c r="J338" s="26"/>
      <c r="K338" s="26"/>
    </row>
    <row r="339" spans="1:11" ht="19.5" customHeight="1" x14ac:dyDescent="0.35">
      <c r="A339" s="41">
        <v>44169.79454318287</v>
      </c>
      <c r="B339" s="38">
        <v>16</v>
      </c>
      <c r="C339" s="35"/>
      <c r="D339" s="34"/>
      <c r="E339" s="34"/>
      <c r="F339" s="26"/>
      <c r="G339" s="26"/>
      <c r="H339" s="26"/>
      <c r="I339" s="26"/>
      <c r="J339" s="26"/>
      <c r="K339" s="26"/>
    </row>
    <row r="340" spans="1:11" ht="19.5" customHeight="1" x14ac:dyDescent="0.35">
      <c r="A340" s="41">
        <v>44169.794543240743</v>
      </c>
      <c r="B340" s="38">
        <v>17</v>
      </c>
      <c r="C340" s="35"/>
      <c r="D340" s="34"/>
      <c r="E340" s="34"/>
      <c r="F340" s="26"/>
      <c r="G340" s="26"/>
      <c r="H340" s="26"/>
      <c r="I340" s="26"/>
      <c r="J340" s="26"/>
      <c r="K340" s="26"/>
    </row>
    <row r="341" spans="1:11" ht="19.5" customHeight="1" x14ac:dyDescent="0.35">
      <c r="A341" s="41">
        <v>44169.79454333333</v>
      </c>
      <c r="B341" s="38">
        <v>16</v>
      </c>
      <c r="C341" s="35"/>
      <c r="D341" s="34"/>
      <c r="E341" s="34"/>
      <c r="F341" s="26"/>
      <c r="G341" s="26"/>
      <c r="H341" s="26"/>
      <c r="I341" s="26"/>
      <c r="J341" s="26"/>
      <c r="K341" s="26"/>
    </row>
    <row r="342" spans="1:11" ht="19.5" customHeight="1" x14ac:dyDescent="0.35">
      <c r="A342" s="41">
        <v>44169.794543379627</v>
      </c>
      <c r="B342" s="38">
        <v>17</v>
      </c>
      <c r="C342" s="35"/>
      <c r="D342" s="34"/>
      <c r="E342" s="34"/>
      <c r="F342" s="26"/>
      <c r="G342" s="26"/>
      <c r="H342" s="26"/>
      <c r="I342" s="26"/>
      <c r="J342" s="26"/>
      <c r="K342" s="26"/>
    </row>
    <row r="343" spans="1:11" ht="19.5" customHeight="1" x14ac:dyDescent="0.35">
      <c r="A343" s="41">
        <v>44169.794543472221</v>
      </c>
      <c r="B343" s="38">
        <v>672</v>
      </c>
      <c r="C343" s="35"/>
      <c r="D343" s="34"/>
      <c r="E343" s="34"/>
      <c r="F343" s="26"/>
      <c r="G343" s="26"/>
      <c r="H343" s="26"/>
      <c r="I343" s="26"/>
      <c r="J343" s="26"/>
      <c r="K343" s="26"/>
    </row>
    <row r="344" spans="1:11" ht="19.5" customHeight="1" x14ac:dyDescent="0.35">
      <c r="A344" s="41">
        <v>44169.794543564814</v>
      </c>
      <c r="B344" s="39">
        <v>17</v>
      </c>
      <c r="C344" s="36"/>
      <c r="D344" s="34"/>
      <c r="E344" s="34"/>
      <c r="F344" s="26"/>
      <c r="G344" s="26"/>
      <c r="H344" s="26"/>
      <c r="I344" s="26"/>
      <c r="J344" s="26"/>
      <c r="K344" s="26"/>
    </row>
    <row r="345" spans="1:11" ht="19.5" customHeight="1" x14ac:dyDescent="0.35">
      <c r="A345" s="41">
        <v>44169.794543611111</v>
      </c>
      <c r="B345" s="38">
        <v>17</v>
      </c>
      <c r="C345" s="35"/>
      <c r="D345" s="34"/>
      <c r="E345" s="34"/>
      <c r="F345" s="26"/>
      <c r="G345" s="26"/>
      <c r="H345" s="26"/>
      <c r="I345" s="26"/>
      <c r="J345" s="26"/>
      <c r="K345" s="26"/>
    </row>
    <row r="346" spans="1:11" ht="19.5" customHeight="1" x14ac:dyDescent="0.35">
      <c r="A346" s="41">
        <v>44169.794543703705</v>
      </c>
      <c r="B346" s="38">
        <v>17</v>
      </c>
      <c r="C346" s="35"/>
      <c r="D346" s="34"/>
      <c r="E346" s="34"/>
      <c r="F346" s="26"/>
      <c r="G346" s="26"/>
      <c r="H346" s="26"/>
      <c r="I346" s="26"/>
      <c r="J346" s="26"/>
      <c r="K346" s="26"/>
    </row>
    <row r="347" spans="1:11" ht="19.5" customHeight="1" x14ac:dyDescent="0.35">
      <c r="A347" s="41">
        <v>44169.794543761571</v>
      </c>
      <c r="B347" s="38">
        <v>17</v>
      </c>
      <c r="C347" s="35"/>
      <c r="D347" s="34"/>
      <c r="E347" s="34"/>
      <c r="F347" s="26"/>
      <c r="G347" s="26"/>
      <c r="H347" s="26"/>
      <c r="I347" s="26"/>
      <c r="J347" s="26"/>
      <c r="K347" s="26"/>
    </row>
    <row r="348" spans="1:11" ht="19.5" customHeight="1" x14ac:dyDescent="0.35">
      <c r="A348" s="41">
        <v>44169.794543854165</v>
      </c>
      <c r="B348" s="38">
        <v>17</v>
      </c>
      <c r="C348" s="35"/>
      <c r="D348" s="34"/>
      <c r="E348" s="34"/>
      <c r="F348" s="26"/>
      <c r="G348" s="26"/>
      <c r="H348" s="26"/>
      <c r="I348" s="26"/>
      <c r="J348" s="26"/>
      <c r="K348" s="26"/>
    </row>
    <row r="349" spans="1:11" ht="19.5" customHeight="1" x14ac:dyDescent="0.35">
      <c r="A349" s="41">
        <v>44169.794543900462</v>
      </c>
      <c r="B349" s="38">
        <v>672</v>
      </c>
      <c r="C349" s="35"/>
      <c r="D349" s="34"/>
      <c r="E349" s="34"/>
      <c r="F349" s="26"/>
      <c r="G349" s="26"/>
      <c r="H349" s="26"/>
      <c r="I349" s="26"/>
      <c r="J349" s="26"/>
      <c r="K349" s="26"/>
    </row>
    <row r="350" spans="1:11" ht="19.5" customHeight="1" x14ac:dyDescent="0.35">
      <c r="A350" s="41">
        <v>44169.794543993055</v>
      </c>
      <c r="B350" s="38">
        <v>16</v>
      </c>
      <c r="C350" s="35"/>
      <c r="D350" s="34"/>
      <c r="E350" s="34"/>
      <c r="F350" s="26"/>
      <c r="G350" s="26"/>
      <c r="H350" s="26"/>
      <c r="I350" s="26"/>
      <c r="J350" s="26"/>
      <c r="K350" s="26"/>
    </row>
    <row r="351" spans="1:11" ht="19.5" customHeight="1" x14ac:dyDescent="0.35">
      <c r="A351" s="41">
        <v>44169.794544039352</v>
      </c>
      <c r="B351" s="38">
        <v>17</v>
      </c>
      <c r="C351" s="35"/>
      <c r="D351" s="34"/>
      <c r="E351" s="34"/>
      <c r="F351" s="26"/>
      <c r="G351" s="26"/>
      <c r="H351" s="26"/>
      <c r="I351" s="26"/>
      <c r="J351" s="26"/>
      <c r="K351" s="26"/>
    </row>
    <row r="352" spans="1:11" ht="19.5" customHeight="1" x14ac:dyDescent="0.35">
      <c r="A352" s="41">
        <v>44169.794544131946</v>
      </c>
      <c r="B352" s="38">
        <v>16</v>
      </c>
      <c r="C352" s="35"/>
      <c r="D352" s="34"/>
      <c r="E352" s="34"/>
      <c r="F352" s="26"/>
      <c r="G352" s="26"/>
      <c r="H352" s="26"/>
      <c r="I352" s="26"/>
      <c r="J352" s="26"/>
      <c r="K352" s="26"/>
    </row>
    <row r="353" spans="1:11" ht="19.5" customHeight="1" x14ac:dyDescent="0.35">
      <c r="A353" s="41">
        <v>44169.794544189812</v>
      </c>
      <c r="B353" s="38">
        <v>16</v>
      </c>
      <c r="C353" s="35"/>
      <c r="D353" s="34"/>
      <c r="E353" s="34"/>
      <c r="F353" s="26"/>
      <c r="G353" s="26"/>
      <c r="H353" s="26"/>
      <c r="I353" s="26"/>
      <c r="J353" s="26"/>
      <c r="K353" s="26"/>
    </row>
    <row r="354" spans="1:11" ht="19.5" customHeight="1" x14ac:dyDescent="0.35">
      <c r="A354" s="41">
        <v>44169.794544282406</v>
      </c>
      <c r="B354" s="38">
        <v>17</v>
      </c>
      <c r="C354" s="35"/>
      <c r="D354" s="34"/>
      <c r="E354" s="34"/>
      <c r="F354" s="26"/>
      <c r="G354" s="26"/>
      <c r="H354" s="26"/>
      <c r="I354" s="26"/>
      <c r="J354" s="26"/>
      <c r="K354" s="26"/>
    </row>
    <row r="355" spans="1:11" ht="19.5" customHeight="1" x14ac:dyDescent="0.35">
      <c r="A355" s="41">
        <v>44169.794544375</v>
      </c>
      <c r="B355" s="38">
        <v>17</v>
      </c>
      <c r="C355" s="35"/>
      <c r="D355" s="34"/>
      <c r="E355" s="34"/>
      <c r="F355" s="26"/>
      <c r="G355" s="26"/>
      <c r="H355" s="26"/>
      <c r="I355" s="26"/>
      <c r="J355" s="26"/>
      <c r="K355" s="26"/>
    </row>
    <row r="356" spans="1:11" ht="19.5" customHeight="1" x14ac:dyDescent="0.35">
      <c r="A356" s="41">
        <v>44169.794544421296</v>
      </c>
      <c r="B356" s="38">
        <v>16</v>
      </c>
      <c r="C356" s="35"/>
      <c r="D356" s="34"/>
      <c r="E356" s="34"/>
      <c r="F356" s="26"/>
      <c r="G356" s="26"/>
      <c r="H356" s="26"/>
      <c r="I356" s="26"/>
      <c r="J356" s="26"/>
      <c r="K356" s="26"/>
    </row>
    <row r="357" spans="1:11" ht="19.5" customHeight="1" x14ac:dyDescent="0.35">
      <c r="A357" s="41">
        <v>44169.79454451389</v>
      </c>
      <c r="B357" s="38">
        <v>17</v>
      </c>
      <c r="C357" s="35"/>
      <c r="D357" s="34"/>
      <c r="E357" s="34"/>
      <c r="F357" s="26"/>
      <c r="G357" s="26"/>
      <c r="H357" s="26"/>
      <c r="I357" s="26"/>
      <c r="J357" s="26"/>
      <c r="K357" s="26"/>
    </row>
    <row r="358" spans="1:11" ht="19.5" customHeight="1" x14ac:dyDescent="0.35">
      <c r="A358" s="41">
        <v>44169.794544560187</v>
      </c>
      <c r="B358" s="38">
        <v>16</v>
      </c>
      <c r="C358" s="35"/>
      <c r="D358" s="34"/>
      <c r="E358" s="34"/>
      <c r="F358" s="26"/>
      <c r="G358" s="26"/>
      <c r="H358" s="26"/>
      <c r="I358" s="26"/>
      <c r="J358" s="26"/>
      <c r="K358" s="26"/>
    </row>
    <row r="359" spans="1:11" ht="19.5" customHeight="1" x14ac:dyDescent="0.35">
      <c r="A359" s="41">
        <v>44169.794544652781</v>
      </c>
      <c r="B359" s="38">
        <v>17</v>
      </c>
      <c r="C359" s="35"/>
      <c r="D359" s="34"/>
      <c r="E359" s="34"/>
      <c r="F359" s="26"/>
      <c r="G359" s="26"/>
      <c r="H359" s="26"/>
      <c r="I359" s="26"/>
      <c r="J359" s="26"/>
      <c r="K359" s="26"/>
    </row>
    <row r="360" spans="1:11" ht="19.5" customHeight="1" x14ac:dyDescent="0.35">
      <c r="A360" s="41">
        <v>44169.794544710647</v>
      </c>
      <c r="B360" s="38">
        <v>16</v>
      </c>
      <c r="C360" s="35"/>
      <c r="D360" s="34"/>
      <c r="E360" s="34"/>
      <c r="F360" s="26"/>
      <c r="G360" s="26"/>
      <c r="H360" s="26"/>
      <c r="I360" s="26"/>
      <c r="J360" s="26"/>
      <c r="K360" s="26"/>
    </row>
    <row r="361" spans="1:11" ht="19.5" customHeight="1" x14ac:dyDescent="0.35">
      <c r="A361" s="41">
        <v>44169.794544803241</v>
      </c>
      <c r="B361" s="39">
        <v>16</v>
      </c>
      <c r="C361" s="36"/>
      <c r="D361" s="34"/>
      <c r="E361" s="34"/>
      <c r="F361" s="26"/>
      <c r="G361" s="26"/>
      <c r="H361" s="26"/>
      <c r="I361" s="26"/>
      <c r="J361" s="26"/>
      <c r="K361" s="26"/>
    </row>
    <row r="362" spans="1:11" ht="19.5" customHeight="1" x14ac:dyDescent="0.35">
      <c r="A362" s="41">
        <v>44169.794544849537</v>
      </c>
      <c r="B362" s="38">
        <v>16</v>
      </c>
      <c r="C362" s="35"/>
      <c r="D362" s="34"/>
      <c r="E362" s="34"/>
      <c r="F362" s="26"/>
      <c r="G362" s="26"/>
      <c r="H362" s="26"/>
      <c r="I362" s="26"/>
      <c r="J362" s="26"/>
      <c r="K362" s="26"/>
    </row>
    <row r="363" spans="1:11" ht="19.5" customHeight="1" x14ac:dyDescent="0.35">
      <c r="A363" s="41">
        <v>44169.794544942131</v>
      </c>
      <c r="B363" s="38">
        <v>17</v>
      </c>
      <c r="C363" s="35"/>
      <c r="D363" s="34"/>
      <c r="E363" s="34"/>
      <c r="F363" s="26"/>
      <c r="G363" s="26"/>
      <c r="H363" s="26"/>
      <c r="I363" s="26"/>
      <c r="J363" s="26"/>
      <c r="K363" s="26"/>
    </row>
    <row r="364" spans="1:11" ht="19.5" customHeight="1" x14ac:dyDescent="0.35">
      <c r="A364" s="41">
        <v>44169.794544988428</v>
      </c>
      <c r="B364" s="38">
        <v>17</v>
      </c>
      <c r="C364" s="35"/>
      <c r="D364" s="34"/>
      <c r="E364" s="34"/>
      <c r="F364" s="26"/>
      <c r="G364" s="26"/>
      <c r="H364" s="26"/>
      <c r="I364" s="26"/>
      <c r="J364" s="26"/>
      <c r="K364" s="26"/>
    </row>
    <row r="365" spans="1:11" ht="19.5" customHeight="1" x14ac:dyDescent="0.35">
      <c r="A365" s="41">
        <v>44169.794545081022</v>
      </c>
      <c r="B365" s="38">
        <v>17</v>
      </c>
      <c r="C365" s="35"/>
      <c r="D365" s="34"/>
      <c r="E365" s="34"/>
      <c r="F365" s="26"/>
      <c r="G365" s="26"/>
      <c r="H365" s="26"/>
      <c r="I365" s="26"/>
      <c r="J365" s="26"/>
      <c r="K365" s="26"/>
    </row>
    <row r="366" spans="1:11" ht="19.5" customHeight="1" x14ac:dyDescent="0.35">
      <c r="A366" s="41">
        <v>44169.794545138888</v>
      </c>
      <c r="B366" s="38">
        <v>17</v>
      </c>
      <c r="C366" s="35"/>
      <c r="D366" s="34"/>
      <c r="E366" s="34"/>
      <c r="F366" s="26"/>
      <c r="G366" s="26"/>
      <c r="H366" s="26"/>
      <c r="I366" s="26"/>
      <c r="J366" s="26"/>
      <c r="K366" s="26"/>
    </row>
    <row r="367" spans="1:11" ht="19.5" customHeight="1" x14ac:dyDescent="0.35">
      <c r="A367" s="41">
        <v>44169.794545231482</v>
      </c>
      <c r="B367" s="38">
        <v>17</v>
      </c>
      <c r="C367" s="35"/>
      <c r="D367" s="34"/>
      <c r="E367" s="34"/>
      <c r="F367" s="26"/>
      <c r="G367" s="26"/>
      <c r="H367" s="26"/>
      <c r="I367" s="26"/>
      <c r="J367" s="26"/>
      <c r="K367" s="26"/>
    </row>
    <row r="368" spans="1:11" ht="19.5" customHeight="1" x14ac:dyDescent="0.35">
      <c r="A368" s="41">
        <v>44169.794545277779</v>
      </c>
      <c r="B368" s="38">
        <v>16</v>
      </c>
      <c r="C368" s="35"/>
      <c r="D368" s="34"/>
      <c r="E368" s="34"/>
      <c r="F368" s="26"/>
      <c r="G368" s="26"/>
      <c r="H368" s="26"/>
      <c r="I368" s="26"/>
      <c r="J368" s="26"/>
      <c r="K368" s="26"/>
    </row>
    <row r="369" spans="1:11" ht="19.5" customHeight="1" x14ac:dyDescent="0.35">
      <c r="A369" s="41">
        <v>44169.794545370372</v>
      </c>
      <c r="B369" s="38">
        <v>16</v>
      </c>
      <c r="C369" s="35"/>
      <c r="D369" s="34"/>
      <c r="E369" s="34"/>
      <c r="F369" s="26"/>
      <c r="G369" s="26"/>
      <c r="H369" s="26"/>
      <c r="I369" s="26"/>
      <c r="J369" s="26"/>
      <c r="K369" s="26"/>
    </row>
    <row r="370" spans="1:11" ht="19.5" customHeight="1" x14ac:dyDescent="0.35">
      <c r="A370" s="41">
        <v>44169.794545416669</v>
      </c>
      <c r="B370" s="38">
        <v>17</v>
      </c>
      <c r="C370" s="35"/>
      <c r="D370" s="34"/>
      <c r="E370" s="34"/>
      <c r="F370" s="26"/>
      <c r="G370" s="26"/>
      <c r="H370" s="26"/>
      <c r="I370" s="26"/>
      <c r="J370" s="26"/>
      <c r="K370" s="26"/>
    </row>
    <row r="371" spans="1:11" ht="19.5" customHeight="1" x14ac:dyDescent="0.35">
      <c r="A371" s="41">
        <v>44169.794545509256</v>
      </c>
      <c r="B371" s="38">
        <v>17</v>
      </c>
      <c r="C371" s="35"/>
      <c r="D371" s="34"/>
      <c r="E371" s="34"/>
      <c r="F371" s="26"/>
      <c r="G371" s="26"/>
      <c r="H371" s="26"/>
      <c r="I371" s="26"/>
      <c r="J371" s="26"/>
      <c r="K371" s="26"/>
    </row>
    <row r="372" spans="1:11" ht="19.5" customHeight="1" x14ac:dyDescent="0.35">
      <c r="A372" s="41">
        <v>44169.794545555553</v>
      </c>
      <c r="B372" s="38">
        <v>17</v>
      </c>
      <c r="C372" s="35"/>
      <c r="D372" s="34"/>
      <c r="E372" s="34"/>
      <c r="F372" s="26"/>
      <c r="G372" s="26"/>
      <c r="H372" s="26"/>
      <c r="I372" s="26"/>
      <c r="J372" s="26"/>
      <c r="K372" s="26"/>
    </row>
    <row r="373" spans="1:11" ht="19.5" customHeight="1" x14ac:dyDescent="0.35">
      <c r="A373" s="41">
        <v>44169.794545648147</v>
      </c>
      <c r="B373" s="38">
        <v>17</v>
      </c>
      <c r="C373" s="35"/>
      <c r="D373" s="34"/>
      <c r="E373" s="34"/>
      <c r="F373" s="26"/>
      <c r="G373" s="26"/>
      <c r="H373" s="26"/>
      <c r="I373" s="26"/>
      <c r="J373" s="26"/>
      <c r="K373" s="26"/>
    </row>
    <row r="374" spans="1:11" ht="19.5" customHeight="1" x14ac:dyDescent="0.35">
      <c r="A374" s="41">
        <v>44169.79454570602</v>
      </c>
      <c r="B374" s="38">
        <v>17</v>
      </c>
      <c r="C374" s="35"/>
      <c r="D374" s="34"/>
      <c r="E374" s="34"/>
      <c r="F374" s="26"/>
      <c r="G374" s="26"/>
      <c r="H374" s="26"/>
      <c r="I374" s="26"/>
      <c r="J374" s="26"/>
      <c r="K374" s="26"/>
    </row>
    <row r="375" spans="1:11" ht="19.5" customHeight="1" x14ac:dyDescent="0.35">
      <c r="A375" s="41">
        <v>44169.794545798613</v>
      </c>
      <c r="B375" s="39">
        <v>16</v>
      </c>
      <c r="C375" s="36"/>
      <c r="D375" s="34"/>
      <c r="E375" s="34"/>
      <c r="F375" s="26"/>
      <c r="G375" s="26"/>
      <c r="H375" s="26"/>
      <c r="I375" s="26"/>
      <c r="J375" s="26"/>
      <c r="K375" s="26"/>
    </row>
    <row r="376" spans="1:11" ht="19.5" customHeight="1" x14ac:dyDescent="0.35">
      <c r="A376" s="41">
        <v>44169.79454584491</v>
      </c>
      <c r="B376" s="38">
        <v>17</v>
      </c>
      <c r="C376" s="35"/>
      <c r="D376" s="34"/>
      <c r="E376" s="34"/>
      <c r="F376" s="26"/>
      <c r="G376" s="26"/>
      <c r="H376" s="26"/>
      <c r="I376" s="26"/>
      <c r="J376" s="26"/>
      <c r="K376" s="26"/>
    </row>
    <row r="377" spans="1:11" ht="19.5" customHeight="1" x14ac:dyDescent="0.35">
      <c r="A377" s="41">
        <v>44169.794545937497</v>
      </c>
      <c r="B377" s="38">
        <v>17</v>
      </c>
      <c r="C377" s="35"/>
      <c r="D377" s="34"/>
      <c r="E377" s="34"/>
      <c r="F377" s="26"/>
      <c r="G377" s="26"/>
      <c r="H377" s="26"/>
      <c r="I377" s="26"/>
      <c r="J377" s="26"/>
      <c r="K377" s="26"/>
    </row>
    <row r="378" spans="1:11" ht="19.5" customHeight="1" x14ac:dyDescent="0.35">
      <c r="A378" s="41">
        <v>44169.794546030091</v>
      </c>
      <c r="B378" s="38">
        <v>17</v>
      </c>
      <c r="C378" s="35"/>
      <c r="D378" s="34"/>
      <c r="E378" s="34"/>
      <c r="F378" s="26"/>
      <c r="G378" s="26"/>
      <c r="H378" s="26"/>
      <c r="I378" s="26"/>
      <c r="J378" s="26"/>
      <c r="K378" s="26"/>
    </row>
    <row r="379" spans="1:11" ht="19.5" customHeight="1" x14ac:dyDescent="0.35">
      <c r="A379" s="41">
        <v>44169.794546076388</v>
      </c>
      <c r="B379" s="38">
        <v>17</v>
      </c>
      <c r="C379" s="35"/>
      <c r="D379" s="34"/>
      <c r="E379" s="34"/>
      <c r="F379" s="26"/>
      <c r="G379" s="26"/>
      <c r="H379" s="26"/>
      <c r="I379" s="26"/>
      <c r="J379" s="26"/>
      <c r="K379" s="26"/>
    </row>
    <row r="380" spans="1:11" ht="19.5" customHeight="1" x14ac:dyDescent="0.35">
      <c r="A380" s="41">
        <v>44169.794546168981</v>
      </c>
      <c r="B380" s="38">
        <v>17</v>
      </c>
      <c r="C380" s="35"/>
      <c r="D380" s="34"/>
      <c r="E380" s="34"/>
      <c r="F380" s="26"/>
      <c r="G380" s="26"/>
      <c r="H380" s="26"/>
      <c r="I380" s="26"/>
      <c r="J380" s="26"/>
      <c r="K380" s="26"/>
    </row>
    <row r="381" spans="1:11" ht="19.5" customHeight="1" x14ac:dyDescent="0.35">
      <c r="A381" s="41">
        <v>44169.794546226854</v>
      </c>
      <c r="B381" s="38">
        <v>16</v>
      </c>
      <c r="C381" s="35"/>
      <c r="D381" s="34"/>
      <c r="E381" s="34"/>
      <c r="F381" s="26"/>
      <c r="G381" s="26"/>
      <c r="H381" s="26"/>
      <c r="I381" s="26"/>
      <c r="J381" s="26"/>
      <c r="K381" s="26"/>
    </row>
    <row r="382" spans="1:11" ht="19.5" customHeight="1" x14ac:dyDescent="0.35">
      <c r="A382" s="41">
        <v>44169.794546319441</v>
      </c>
      <c r="B382" s="38">
        <v>17</v>
      </c>
      <c r="C382" s="35"/>
      <c r="D382" s="34"/>
      <c r="E382" s="34"/>
      <c r="F382" s="26"/>
      <c r="G382" s="26"/>
      <c r="H382" s="26"/>
      <c r="I382" s="26"/>
      <c r="J382" s="26"/>
      <c r="K382" s="26"/>
    </row>
    <row r="383" spans="1:11" ht="19.5" customHeight="1" x14ac:dyDescent="0.35">
      <c r="A383" s="41">
        <v>44169.794546365738</v>
      </c>
      <c r="B383" s="38">
        <v>17</v>
      </c>
      <c r="C383" s="35"/>
      <c r="D383" s="34"/>
      <c r="E383" s="34"/>
      <c r="F383" s="26"/>
      <c r="G383" s="26"/>
      <c r="H383" s="26"/>
      <c r="I383" s="26"/>
      <c r="J383" s="26"/>
      <c r="K383" s="26"/>
    </row>
    <row r="384" spans="1:11" ht="19.5" customHeight="1" x14ac:dyDescent="0.35">
      <c r="A384" s="41">
        <v>44169.794546458332</v>
      </c>
      <c r="B384" s="38">
        <v>17</v>
      </c>
      <c r="C384" s="35"/>
      <c r="D384" s="34"/>
      <c r="E384" s="34"/>
      <c r="F384" s="26"/>
      <c r="G384" s="26"/>
      <c r="H384" s="26"/>
      <c r="I384" s="26"/>
      <c r="J384" s="26"/>
      <c r="K384" s="26"/>
    </row>
    <row r="385" spans="1:11" ht="19.5" customHeight="1" x14ac:dyDescent="0.35">
      <c r="A385" s="41">
        <v>44169.794546504629</v>
      </c>
      <c r="B385" s="38">
        <v>16</v>
      </c>
      <c r="C385" s="35"/>
      <c r="D385" s="34"/>
      <c r="E385" s="34"/>
      <c r="F385" s="26"/>
      <c r="G385" s="26"/>
      <c r="H385" s="26"/>
      <c r="I385" s="26"/>
      <c r="J385" s="26"/>
      <c r="K385" s="26"/>
    </row>
    <row r="386" spans="1:11" ht="19.5" customHeight="1" x14ac:dyDescent="0.35">
      <c r="A386" s="41">
        <v>44169.794546597223</v>
      </c>
      <c r="B386" s="38">
        <v>17</v>
      </c>
      <c r="C386" s="35"/>
      <c r="D386" s="34"/>
      <c r="E386" s="34"/>
      <c r="F386" s="26"/>
      <c r="G386" s="26"/>
      <c r="H386" s="26"/>
      <c r="I386" s="26"/>
      <c r="J386" s="26"/>
      <c r="K386" s="26"/>
    </row>
    <row r="387" spans="1:11" ht="19.5" customHeight="1" x14ac:dyDescent="0.35">
      <c r="A387" s="41">
        <v>44169.794546655095</v>
      </c>
      <c r="B387" s="38">
        <v>17</v>
      </c>
      <c r="C387" s="35"/>
      <c r="D387" s="34"/>
      <c r="E387" s="34"/>
      <c r="F387" s="26"/>
      <c r="G387" s="26"/>
      <c r="H387" s="26"/>
      <c r="I387" s="26"/>
      <c r="J387" s="26"/>
      <c r="K387" s="26"/>
    </row>
    <row r="388" spans="1:11" ht="19.5" customHeight="1" x14ac:dyDescent="0.35">
      <c r="A388" s="41">
        <v>44169.794546747682</v>
      </c>
      <c r="B388" s="38">
        <v>16</v>
      </c>
      <c r="C388" s="35"/>
      <c r="D388" s="34"/>
      <c r="E388" s="34"/>
      <c r="F388" s="26"/>
      <c r="G388" s="26"/>
      <c r="H388" s="26"/>
      <c r="I388" s="26"/>
      <c r="J388" s="26"/>
      <c r="K388" s="26"/>
    </row>
    <row r="389" spans="1:11" ht="19.5" customHeight="1" x14ac:dyDescent="0.35">
      <c r="A389" s="41">
        <v>44169.794546793979</v>
      </c>
      <c r="B389" s="38">
        <v>672</v>
      </c>
      <c r="C389" s="35"/>
      <c r="D389" s="34"/>
      <c r="E389" s="34"/>
      <c r="F389" s="26"/>
      <c r="G389" s="26"/>
      <c r="H389" s="26"/>
      <c r="I389" s="26"/>
      <c r="J389" s="26"/>
      <c r="K389" s="26"/>
    </row>
    <row r="390" spans="1:11" ht="19.5" customHeight="1" x14ac:dyDescent="0.35">
      <c r="A390" s="41">
        <v>44169.794546886573</v>
      </c>
      <c r="B390" s="38">
        <v>17</v>
      </c>
      <c r="C390" s="35"/>
      <c r="D390" s="34"/>
      <c r="E390" s="34"/>
      <c r="F390" s="26"/>
      <c r="G390" s="26"/>
      <c r="H390" s="26"/>
      <c r="I390" s="26"/>
      <c r="J390" s="26"/>
      <c r="K390" s="26"/>
    </row>
    <row r="391" spans="1:11" ht="19.5" customHeight="1" x14ac:dyDescent="0.35">
      <c r="A391" s="41">
        <v>44169.794546979167</v>
      </c>
      <c r="B391" s="39">
        <v>17</v>
      </c>
      <c r="C391" s="36"/>
      <c r="D391" s="34"/>
      <c r="E391" s="34"/>
      <c r="F391" s="26"/>
      <c r="G391" s="26"/>
      <c r="H391" s="26"/>
      <c r="I391" s="26"/>
      <c r="J391" s="26"/>
      <c r="K391" s="26"/>
    </row>
    <row r="392" spans="1:11" ht="19.5" customHeight="1" x14ac:dyDescent="0.35">
      <c r="A392" s="41">
        <v>44169.794547025464</v>
      </c>
      <c r="B392" s="38">
        <v>17</v>
      </c>
      <c r="C392" s="35"/>
      <c r="D392" s="34"/>
      <c r="E392" s="34"/>
      <c r="F392" s="26"/>
      <c r="G392" s="26"/>
      <c r="H392" s="26"/>
      <c r="I392" s="26"/>
      <c r="J392" s="26"/>
      <c r="K392" s="26"/>
    </row>
    <row r="393" spans="1:11" ht="19.5" customHeight="1" x14ac:dyDescent="0.35">
      <c r="A393" s="41">
        <v>44169.794547118057</v>
      </c>
      <c r="B393" s="38">
        <v>17</v>
      </c>
      <c r="C393" s="35"/>
      <c r="D393" s="34"/>
      <c r="E393" s="34"/>
      <c r="F393" s="26"/>
      <c r="G393" s="26"/>
      <c r="H393" s="26"/>
      <c r="I393" s="26"/>
      <c r="J393" s="26"/>
      <c r="K393" s="26"/>
    </row>
    <row r="394" spans="1:11" ht="19.5" customHeight="1" x14ac:dyDescent="0.35">
      <c r="A394" s="41">
        <v>44169.794547175923</v>
      </c>
      <c r="B394" s="38">
        <v>17</v>
      </c>
      <c r="C394" s="35"/>
      <c r="D394" s="34"/>
      <c r="E394" s="34"/>
      <c r="F394" s="26"/>
      <c r="G394" s="26"/>
      <c r="H394" s="26"/>
      <c r="I394" s="26"/>
      <c r="J394" s="26"/>
      <c r="K394" s="26"/>
    </row>
    <row r="395" spans="1:11" ht="19.5" customHeight="1" x14ac:dyDescent="0.35">
      <c r="A395" s="41">
        <v>44169.794547268517</v>
      </c>
      <c r="B395" s="38">
        <v>672</v>
      </c>
      <c r="C395" s="35"/>
      <c r="D395" s="34"/>
      <c r="E395" s="34"/>
      <c r="F395" s="26"/>
      <c r="G395" s="26"/>
      <c r="H395" s="26"/>
      <c r="I395" s="26"/>
      <c r="J395" s="26"/>
      <c r="K395" s="26"/>
    </row>
    <row r="396" spans="1:11" ht="19.5" customHeight="1" x14ac:dyDescent="0.35">
      <c r="A396" s="41">
        <v>44169.794547314814</v>
      </c>
      <c r="B396" s="38">
        <v>17</v>
      </c>
      <c r="C396" s="35"/>
      <c r="D396" s="34"/>
      <c r="E396" s="34"/>
      <c r="F396" s="26"/>
      <c r="G396" s="26"/>
      <c r="H396" s="26"/>
      <c r="I396" s="26"/>
      <c r="J396" s="26"/>
      <c r="K396" s="26"/>
    </row>
    <row r="397" spans="1:11" ht="19.5" customHeight="1" x14ac:dyDescent="0.35">
      <c r="A397" s="41">
        <v>44169.794547407408</v>
      </c>
      <c r="B397" s="38">
        <v>17</v>
      </c>
      <c r="C397" s="35"/>
      <c r="D397" s="34"/>
      <c r="E397" s="34"/>
      <c r="F397" s="26"/>
      <c r="G397" s="26"/>
      <c r="H397" s="26"/>
      <c r="I397" s="26"/>
      <c r="J397" s="26"/>
      <c r="K397" s="26"/>
    </row>
    <row r="398" spans="1:11" ht="19.5" customHeight="1" x14ac:dyDescent="0.35">
      <c r="A398" s="41">
        <v>44169.794547453705</v>
      </c>
      <c r="B398" s="38">
        <v>17</v>
      </c>
      <c r="C398" s="35"/>
      <c r="D398" s="34"/>
      <c r="E398" s="34"/>
      <c r="F398" s="26"/>
      <c r="G398" s="26"/>
      <c r="H398" s="26"/>
      <c r="I398" s="26"/>
      <c r="J398" s="26"/>
      <c r="K398" s="26"/>
    </row>
    <row r="399" spans="1:11" ht="19.5" customHeight="1" x14ac:dyDescent="0.35">
      <c r="A399" s="41">
        <v>44169.794547546298</v>
      </c>
      <c r="B399" s="38">
        <v>17</v>
      </c>
      <c r="C399" s="35"/>
      <c r="D399" s="34"/>
      <c r="E399" s="34"/>
      <c r="F399" s="26"/>
      <c r="G399" s="26"/>
      <c r="H399" s="26"/>
      <c r="I399" s="26"/>
      <c r="J399" s="26"/>
      <c r="K399" s="26"/>
    </row>
    <row r="400" spans="1:11" ht="19.5" customHeight="1" x14ac:dyDescent="0.35">
      <c r="A400" s="41">
        <v>44169.794547604164</v>
      </c>
      <c r="B400" s="38">
        <v>16</v>
      </c>
      <c r="C400" s="35"/>
      <c r="D400" s="34"/>
      <c r="E400" s="34"/>
      <c r="F400" s="26"/>
      <c r="G400" s="26"/>
      <c r="H400" s="26"/>
      <c r="I400" s="26"/>
      <c r="J400" s="26"/>
      <c r="K400" s="26"/>
    </row>
    <row r="401" spans="1:11" ht="19.5" customHeight="1" x14ac:dyDescent="0.35">
      <c r="A401" s="41">
        <v>44169.794547696758</v>
      </c>
      <c r="B401" s="38">
        <v>671</v>
      </c>
      <c r="C401" s="35"/>
      <c r="D401" s="34"/>
      <c r="E401" s="34"/>
      <c r="F401" s="26"/>
      <c r="G401" s="26"/>
      <c r="H401" s="26"/>
      <c r="I401" s="26"/>
      <c r="J401" s="26"/>
      <c r="K401" s="26"/>
    </row>
    <row r="402" spans="1:11" ht="19.5" customHeight="1" x14ac:dyDescent="0.35">
      <c r="A402" s="41">
        <v>44169.794547789352</v>
      </c>
      <c r="B402" s="38">
        <v>17</v>
      </c>
      <c r="C402" s="35"/>
      <c r="D402" s="34"/>
      <c r="E402" s="34"/>
      <c r="F402" s="26"/>
      <c r="G402" s="26"/>
      <c r="H402" s="26"/>
      <c r="I402" s="26"/>
      <c r="J402" s="26"/>
      <c r="K402" s="26"/>
    </row>
    <row r="403" spans="1:11" ht="19.5" customHeight="1" x14ac:dyDescent="0.35">
      <c r="A403" s="41">
        <v>44169.794547835649</v>
      </c>
      <c r="B403" s="38">
        <v>17</v>
      </c>
      <c r="C403" s="35"/>
      <c r="D403" s="34"/>
      <c r="E403" s="34"/>
      <c r="F403" s="26"/>
      <c r="G403" s="26"/>
      <c r="H403" s="26"/>
      <c r="I403" s="26"/>
      <c r="J403" s="26"/>
      <c r="K403" s="26"/>
    </row>
    <row r="404" spans="1:11" ht="19.5" customHeight="1" x14ac:dyDescent="0.35">
      <c r="A404" s="41">
        <v>44169.794547928243</v>
      </c>
      <c r="B404" s="38">
        <v>17</v>
      </c>
      <c r="C404" s="35"/>
      <c r="D404" s="34"/>
      <c r="E404" s="34"/>
      <c r="F404" s="26"/>
      <c r="G404" s="26"/>
      <c r="H404" s="26"/>
      <c r="I404" s="26"/>
      <c r="J404" s="26"/>
      <c r="K404" s="26"/>
    </row>
    <row r="405" spans="1:11" ht="19.5" customHeight="1" x14ac:dyDescent="0.35">
      <c r="A405" s="41">
        <v>44169.794547974539</v>
      </c>
      <c r="B405" s="38">
        <v>16</v>
      </c>
      <c r="C405" s="35"/>
      <c r="D405" s="34"/>
      <c r="E405" s="34"/>
      <c r="F405" s="26"/>
      <c r="G405" s="26"/>
      <c r="H405" s="26"/>
      <c r="I405" s="26"/>
      <c r="J405" s="26"/>
      <c r="K405" s="26"/>
    </row>
    <row r="406" spans="1:11" ht="19.5" customHeight="1" x14ac:dyDescent="0.35">
      <c r="A406" s="41">
        <v>44169.794548067126</v>
      </c>
      <c r="B406" s="38">
        <v>17</v>
      </c>
      <c r="C406" s="35"/>
      <c r="D406" s="34"/>
      <c r="E406" s="34"/>
      <c r="F406" s="26"/>
      <c r="G406" s="26"/>
      <c r="H406" s="26"/>
      <c r="I406" s="26"/>
      <c r="J406" s="26"/>
      <c r="K406" s="26"/>
    </row>
    <row r="407" spans="1:11" ht="19.5" customHeight="1" x14ac:dyDescent="0.35">
      <c r="A407" s="41">
        <v>44169.794548113423</v>
      </c>
      <c r="B407" s="39">
        <v>17</v>
      </c>
      <c r="C407" s="36"/>
      <c r="D407" s="34"/>
      <c r="E407" s="34"/>
      <c r="F407" s="26"/>
      <c r="G407" s="26"/>
      <c r="H407" s="26"/>
      <c r="I407" s="26"/>
      <c r="J407" s="26"/>
      <c r="K407" s="26"/>
    </row>
    <row r="408" spans="1:11" ht="19.5" customHeight="1" x14ac:dyDescent="0.35">
      <c r="A408" s="41">
        <v>44169.794548217593</v>
      </c>
      <c r="B408" s="38">
        <v>17</v>
      </c>
      <c r="C408" s="35"/>
      <c r="D408" s="34"/>
      <c r="E408" s="34"/>
      <c r="F408" s="26"/>
      <c r="G408" s="26"/>
      <c r="H408" s="26"/>
      <c r="I408" s="26"/>
      <c r="J408" s="26"/>
      <c r="K408" s="26"/>
    </row>
    <row r="409" spans="1:11" ht="19.5" customHeight="1" x14ac:dyDescent="0.35">
      <c r="A409" s="41">
        <v>44169.79454826389</v>
      </c>
      <c r="B409" s="38">
        <v>17</v>
      </c>
      <c r="C409" s="35"/>
      <c r="D409" s="34"/>
      <c r="E409" s="34"/>
      <c r="F409" s="26"/>
      <c r="G409" s="26"/>
      <c r="H409" s="26"/>
      <c r="I409" s="26"/>
      <c r="J409" s="26"/>
      <c r="K409" s="26"/>
    </row>
    <row r="410" spans="1:11" ht="19.5" customHeight="1" x14ac:dyDescent="0.35">
      <c r="A410" s="41">
        <v>44169.794548356484</v>
      </c>
      <c r="B410" s="38">
        <v>16</v>
      </c>
      <c r="C410" s="35"/>
      <c r="D410" s="34"/>
      <c r="E410" s="34"/>
      <c r="F410" s="26"/>
      <c r="G410" s="26"/>
      <c r="H410" s="26"/>
      <c r="I410" s="26"/>
      <c r="J410" s="26"/>
      <c r="K410" s="26"/>
    </row>
    <row r="411" spans="1:11" ht="19.5" customHeight="1" x14ac:dyDescent="0.35">
      <c r="A411" s="41">
        <v>44169.79454840278</v>
      </c>
      <c r="B411" s="38">
        <v>16</v>
      </c>
      <c r="C411" s="35"/>
      <c r="D411" s="34"/>
      <c r="E411" s="34"/>
      <c r="F411" s="26"/>
      <c r="G411" s="26"/>
      <c r="H411" s="26"/>
      <c r="I411" s="26"/>
      <c r="J411" s="26"/>
      <c r="K411" s="26"/>
    </row>
    <row r="412" spans="1:11" ht="19.5" customHeight="1" x14ac:dyDescent="0.35">
      <c r="A412" s="41">
        <v>44169.794548495367</v>
      </c>
      <c r="B412" s="38">
        <v>17</v>
      </c>
      <c r="C412" s="35"/>
      <c r="D412" s="34"/>
      <c r="E412" s="34"/>
      <c r="F412" s="26"/>
      <c r="G412" s="26"/>
      <c r="H412" s="26"/>
      <c r="I412" s="26"/>
      <c r="J412" s="26"/>
      <c r="K412" s="26"/>
    </row>
    <row r="413" spans="1:11" ht="19.5" customHeight="1" x14ac:dyDescent="0.35">
      <c r="A413" s="41">
        <v>44169.794548541664</v>
      </c>
      <c r="B413" s="38">
        <v>17</v>
      </c>
      <c r="C413" s="35"/>
      <c r="D413" s="34"/>
      <c r="E413" s="34"/>
      <c r="F413" s="26"/>
      <c r="G413" s="26"/>
      <c r="H413" s="26"/>
      <c r="I413" s="26"/>
      <c r="J413" s="26"/>
      <c r="K413" s="26"/>
    </row>
    <row r="414" spans="1:11" ht="19.5" customHeight="1" x14ac:dyDescent="0.35">
      <c r="A414" s="41">
        <v>44169.794548645834</v>
      </c>
      <c r="B414" s="38">
        <v>16</v>
      </c>
      <c r="C414" s="35"/>
      <c r="D414" s="34"/>
      <c r="E414" s="34"/>
      <c r="F414" s="26"/>
      <c r="G414" s="26"/>
      <c r="H414" s="26"/>
      <c r="I414" s="26"/>
      <c r="J414" s="26"/>
      <c r="K414" s="26"/>
    </row>
    <row r="415" spans="1:11" ht="19.5" customHeight="1" x14ac:dyDescent="0.35">
      <c r="A415" s="41">
        <v>44169.794548738428</v>
      </c>
      <c r="B415" s="38">
        <v>17</v>
      </c>
      <c r="C415" s="35"/>
      <c r="D415" s="34"/>
      <c r="E415" s="34"/>
      <c r="F415" s="26"/>
      <c r="G415" s="26"/>
      <c r="H415" s="26"/>
      <c r="I415" s="26"/>
      <c r="J415" s="26"/>
      <c r="K415" s="26"/>
    </row>
    <row r="416" spans="1:11" ht="19.5" customHeight="1" x14ac:dyDescent="0.35">
      <c r="A416" s="41">
        <v>44169.794548784725</v>
      </c>
      <c r="B416" s="38">
        <v>16</v>
      </c>
      <c r="C416" s="35"/>
      <c r="D416" s="34"/>
      <c r="E416" s="34"/>
      <c r="F416" s="26"/>
      <c r="G416" s="26"/>
      <c r="H416" s="26"/>
      <c r="I416" s="26"/>
      <c r="J416" s="26"/>
      <c r="K416" s="26"/>
    </row>
    <row r="417" spans="1:11" ht="19.5" customHeight="1" x14ac:dyDescent="0.35">
      <c r="A417" s="41">
        <v>44169.794548877318</v>
      </c>
      <c r="B417" s="38">
        <v>17</v>
      </c>
      <c r="C417" s="35"/>
      <c r="D417" s="34"/>
      <c r="E417" s="34"/>
      <c r="F417" s="26"/>
      <c r="G417" s="26"/>
      <c r="H417" s="26"/>
      <c r="I417" s="26"/>
      <c r="J417" s="26"/>
      <c r="K417" s="26"/>
    </row>
    <row r="418" spans="1:11" ht="19.5" customHeight="1" x14ac:dyDescent="0.35">
      <c r="A418" s="41">
        <v>44169.794548923608</v>
      </c>
      <c r="B418" s="38">
        <v>16</v>
      </c>
      <c r="C418" s="35"/>
      <c r="D418" s="34"/>
      <c r="E418" s="34"/>
      <c r="F418" s="26"/>
      <c r="G418" s="26"/>
      <c r="H418" s="26"/>
      <c r="I418" s="26"/>
      <c r="J418" s="26"/>
      <c r="K418" s="26"/>
    </row>
    <row r="419" spans="1:11" ht="19.5" customHeight="1" x14ac:dyDescent="0.35">
      <c r="A419" s="41">
        <v>44169.794549016202</v>
      </c>
      <c r="B419" s="38">
        <v>17</v>
      </c>
      <c r="C419" s="35"/>
      <c r="D419" s="34"/>
      <c r="E419" s="34"/>
      <c r="F419" s="26"/>
      <c r="G419" s="26"/>
      <c r="H419" s="26"/>
      <c r="I419" s="26"/>
      <c r="J419" s="26"/>
      <c r="K419" s="26"/>
    </row>
    <row r="420" spans="1:11" ht="19.5" customHeight="1" x14ac:dyDescent="0.35">
      <c r="A420" s="41">
        <v>44169.794549062499</v>
      </c>
      <c r="B420" s="38">
        <v>17</v>
      </c>
      <c r="C420" s="35"/>
      <c r="D420" s="34"/>
      <c r="E420" s="34"/>
      <c r="F420" s="26"/>
      <c r="G420" s="26"/>
      <c r="H420" s="26"/>
      <c r="I420" s="26"/>
      <c r="J420" s="26"/>
      <c r="K420" s="26"/>
    </row>
    <row r="421" spans="1:11" ht="19.5" customHeight="1" x14ac:dyDescent="0.35">
      <c r="A421" s="41">
        <v>44169.794549166669</v>
      </c>
      <c r="B421" s="39">
        <v>17</v>
      </c>
      <c r="C421" s="36"/>
      <c r="D421" s="34"/>
      <c r="E421" s="34"/>
      <c r="F421" s="26"/>
      <c r="G421" s="26"/>
      <c r="H421" s="26"/>
      <c r="I421" s="26"/>
      <c r="J421" s="26"/>
      <c r="K421" s="26"/>
    </row>
    <row r="422" spans="1:11" ht="19.5" customHeight="1" x14ac:dyDescent="0.35">
      <c r="A422" s="41">
        <v>44169.794549212966</v>
      </c>
      <c r="B422" s="38">
        <v>17</v>
      </c>
      <c r="C422" s="35"/>
      <c r="D422" s="34"/>
      <c r="E422" s="34"/>
      <c r="F422" s="26"/>
      <c r="G422" s="26"/>
      <c r="H422" s="26"/>
      <c r="I422" s="26"/>
      <c r="J422" s="26"/>
      <c r="K422" s="26"/>
    </row>
    <row r="423" spans="1:11" ht="19.5" customHeight="1" x14ac:dyDescent="0.35">
      <c r="A423" s="41">
        <v>44169.794549305552</v>
      </c>
      <c r="B423" s="38">
        <v>16</v>
      </c>
      <c r="C423" s="35"/>
      <c r="D423" s="34"/>
      <c r="E423" s="34"/>
      <c r="F423" s="26"/>
      <c r="G423" s="26"/>
      <c r="H423" s="26"/>
      <c r="I423" s="26"/>
      <c r="J423" s="26"/>
      <c r="K423" s="26"/>
    </row>
    <row r="424" spans="1:11" ht="19.5" customHeight="1" x14ac:dyDescent="0.35">
      <c r="A424" s="41">
        <v>44169.794549351849</v>
      </c>
      <c r="B424" s="38">
        <v>16</v>
      </c>
      <c r="C424" s="35"/>
      <c r="D424" s="34"/>
      <c r="E424" s="34"/>
      <c r="F424" s="26"/>
      <c r="G424" s="26"/>
      <c r="H424" s="26"/>
      <c r="I424" s="26"/>
      <c r="J424" s="26"/>
      <c r="K424" s="26"/>
    </row>
    <row r="425" spans="1:11" ht="19.5" customHeight="1" x14ac:dyDescent="0.35">
      <c r="A425" s="41">
        <v>44169.794549444443</v>
      </c>
      <c r="B425" s="38">
        <v>17</v>
      </c>
      <c r="C425" s="35"/>
      <c r="D425" s="34"/>
      <c r="E425" s="34"/>
      <c r="F425" s="26"/>
      <c r="G425" s="26"/>
      <c r="H425" s="26"/>
      <c r="I425" s="26"/>
      <c r="J425" s="26"/>
      <c r="K425" s="26"/>
    </row>
    <row r="426" spans="1:11" ht="19.5" customHeight="1" x14ac:dyDescent="0.35">
      <c r="A426" s="41">
        <v>44169.79454949074</v>
      </c>
      <c r="B426" s="38">
        <v>17</v>
      </c>
      <c r="C426" s="35"/>
      <c r="D426" s="34"/>
      <c r="E426" s="34"/>
      <c r="F426" s="26"/>
      <c r="G426" s="26"/>
      <c r="H426" s="26"/>
      <c r="I426" s="26"/>
      <c r="J426" s="26"/>
      <c r="K426" s="26"/>
    </row>
    <row r="427" spans="1:11" ht="19.5" customHeight="1" x14ac:dyDescent="0.35">
      <c r="A427" s="41">
        <v>44169.79454959491</v>
      </c>
      <c r="B427" s="38">
        <v>17</v>
      </c>
      <c r="C427" s="35"/>
      <c r="D427" s="34"/>
      <c r="E427" s="34"/>
      <c r="F427" s="26"/>
      <c r="G427" s="26"/>
      <c r="H427" s="26"/>
      <c r="I427" s="26"/>
      <c r="J427" s="26"/>
      <c r="K427" s="26"/>
    </row>
    <row r="428" spans="1:11" ht="19.5" customHeight="1" x14ac:dyDescent="0.35">
      <c r="A428" s="41">
        <v>44169.794549641207</v>
      </c>
      <c r="B428" s="38">
        <v>16</v>
      </c>
      <c r="C428" s="35"/>
      <c r="D428" s="34"/>
      <c r="E428" s="34"/>
      <c r="F428" s="26"/>
      <c r="G428" s="26"/>
      <c r="H428" s="26"/>
      <c r="I428" s="26"/>
      <c r="J428" s="26"/>
      <c r="K428" s="26"/>
    </row>
    <row r="429" spans="1:11" ht="19.5" customHeight="1" x14ac:dyDescent="0.35">
      <c r="A429" s="41">
        <v>44169.794549733793</v>
      </c>
      <c r="B429" s="38">
        <v>17</v>
      </c>
      <c r="C429" s="35"/>
      <c r="D429" s="34"/>
      <c r="E429" s="34"/>
      <c r="F429" s="26"/>
      <c r="G429" s="26"/>
      <c r="H429" s="26"/>
      <c r="I429" s="26"/>
      <c r="J429" s="26"/>
      <c r="K429" s="26"/>
    </row>
    <row r="430" spans="1:11" ht="19.5" customHeight="1" x14ac:dyDescent="0.35">
      <c r="A430" s="41">
        <v>44169.79454978009</v>
      </c>
      <c r="B430" s="38">
        <v>17</v>
      </c>
      <c r="C430" s="35"/>
      <c r="D430" s="34"/>
      <c r="E430" s="34"/>
      <c r="F430" s="26"/>
      <c r="G430" s="26"/>
      <c r="H430" s="26"/>
      <c r="I430" s="26"/>
      <c r="J430" s="26"/>
      <c r="K430" s="26"/>
    </row>
    <row r="431" spans="1:11" ht="19.5" customHeight="1" x14ac:dyDescent="0.35">
      <c r="A431" s="41">
        <v>44169.794549872684</v>
      </c>
      <c r="B431" s="38">
        <v>16</v>
      </c>
      <c r="C431" s="35"/>
      <c r="D431" s="34"/>
      <c r="E431" s="34"/>
      <c r="F431" s="26"/>
      <c r="G431" s="26"/>
      <c r="H431" s="26"/>
      <c r="I431" s="26"/>
      <c r="J431" s="26"/>
      <c r="K431" s="26"/>
    </row>
    <row r="432" spans="1:11" ht="19.5" customHeight="1" x14ac:dyDescent="0.35">
      <c r="A432" s="41">
        <v>44169.794549918981</v>
      </c>
      <c r="B432" s="38">
        <v>16</v>
      </c>
      <c r="C432" s="35"/>
      <c r="D432" s="34"/>
      <c r="E432" s="34"/>
      <c r="F432" s="26"/>
      <c r="G432" s="26"/>
      <c r="H432" s="26"/>
      <c r="I432" s="26"/>
      <c r="J432" s="26"/>
      <c r="K432" s="26"/>
    </row>
    <row r="433" spans="1:11" ht="19.5" customHeight="1" x14ac:dyDescent="0.35">
      <c r="A433" s="41">
        <v>44169.794550011575</v>
      </c>
      <c r="B433" s="38">
        <v>17</v>
      </c>
      <c r="C433" s="35"/>
      <c r="D433" s="34"/>
      <c r="E433" s="34"/>
      <c r="F433" s="26"/>
      <c r="G433" s="26"/>
      <c r="H433" s="26"/>
      <c r="I433" s="26"/>
      <c r="J433" s="26"/>
      <c r="K433" s="26"/>
    </row>
    <row r="434" spans="1:11" ht="19.5" customHeight="1" x14ac:dyDescent="0.35">
      <c r="A434" s="41">
        <v>44169.794550057872</v>
      </c>
      <c r="B434" s="38">
        <v>17</v>
      </c>
      <c r="C434" s="35"/>
      <c r="D434" s="34"/>
      <c r="E434" s="34"/>
      <c r="F434" s="26"/>
      <c r="G434" s="26"/>
      <c r="H434" s="26"/>
      <c r="I434" s="26"/>
      <c r="J434" s="26"/>
      <c r="K434" s="26"/>
    </row>
    <row r="435" spans="1:11" ht="19.5" customHeight="1" x14ac:dyDescent="0.35">
      <c r="A435" s="41">
        <v>44169.794550162034</v>
      </c>
      <c r="B435" s="38">
        <v>17</v>
      </c>
      <c r="C435" s="35"/>
      <c r="D435" s="34"/>
      <c r="E435" s="34"/>
      <c r="F435" s="26"/>
      <c r="G435" s="26"/>
      <c r="H435" s="26"/>
      <c r="I435" s="26"/>
      <c r="J435" s="26"/>
      <c r="K435" s="26"/>
    </row>
    <row r="436" spans="1:11" ht="19.5" customHeight="1" x14ac:dyDescent="0.35">
      <c r="A436" s="41">
        <v>44169.794550208331</v>
      </c>
      <c r="B436" s="39">
        <v>17</v>
      </c>
      <c r="C436" s="36"/>
      <c r="D436" s="34"/>
      <c r="E436" s="34"/>
      <c r="F436" s="26"/>
      <c r="G436" s="26"/>
      <c r="H436" s="26"/>
      <c r="I436" s="26"/>
      <c r="J436" s="26"/>
      <c r="K436" s="26"/>
    </row>
    <row r="437" spans="1:11" ht="19.5" customHeight="1" x14ac:dyDescent="0.35">
      <c r="A437" s="41">
        <v>44169.794550300925</v>
      </c>
      <c r="B437" s="38">
        <v>16</v>
      </c>
      <c r="C437" s="35"/>
      <c r="D437" s="34"/>
      <c r="E437" s="34"/>
      <c r="F437" s="26"/>
      <c r="G437" s="26"/>
      <c r="H437" s="26"/>
      <c r="I437" s="26"/>
      <c r="J437" s="26"/>
      <c r="K437" s="26"/>
    </row>
    <row r="438" spans="1:11" ht="19.5" customHeight="1" x14ac:dyDescent="0.35">
      <c r="A438" s="41">
        <v>44169.794550347222</v>
      </c>
      <c r="B438" s="38">
        <v>17</v>
      </c>
      <c r="C438" s="35"/>
      <c r="D438" s="34"/>
      <c r="E438" s="34"/>
      <c r="F438" s="26"/>
      <c r="G438" s="26"/>
      <c r="H438" s="26"/>
      <c r="I438" s="26"/>
      <c r="J438" s="26"/>
      <c r="K438" s="26"/>
    </row>
    <row r="439" spans="1:11" ht="19.5" customHeight="1" x14ac:dyDescent="0.35">
      <c r="A439" s="41">
        <v>44169.794550439816</v>
      </c>
      <c r="B439" s="38">
        <v>17</v>
      </c>
      <c r="C439" s="35"/>
      <c r="D439" s="34"/>
      <c r="E439" s="34"/>
      <c r="F439" s="26"/>
      <c r="G439" s="26"/>
      <c r="H439" s="26"/>
      <c r="I439" s="26"/>
      <c r="J439" s="26"/>
      <c r="K439" s="26"/>
    </row>
    <row r="440" spans="1:11" ht="19.5" customHeight="1" x14ac:dyDescent="0.35">
      <c r="A440" s="41">
        <v>44169.79455053241</v>
      </c>
      <c r="B440" s="38">
        <v>17</v>
      </c>
      <c r="C440" s="35"/>
      <c r="D440" s="34"/>
      <c r="E440" s="34"/>
      <c r="F440" s="26"/>
      <c r="G440" s="26"/>
      <c r="H440" s="26"/>
      <c r="I440" s="26"/>
      <c r="J440" s="26"/>
      <c r="K440" s="26"/>
    </row>
    <row r="441" spans="1:11" ht="19.5" customHeight="1" x14ac:dyDescent="0.35">
      <c r="A441" s="41">
        <v>44169.794550590275</v>
      </c>
      <c r="B441" s="38">
        <v>672</v>
      </c>
      <c r="C441" s="35"/>
      <c r="D441" s="34"/>
      <c r="E441" s="34"/>
      <c r="F441" s="26"/>
      <c r="G441" s="26"/>
      <c r="H441" s="26"/>
      <c r="I441" s="26"/>
      <c r="J441" s="26"/>
      <c r="K441" s="26"/>
    </row>
    <row r="442" spans="1:11" ht="19.5" customHeight="1" x14ac:dyDescent="0.35">
      <c r="A442" s="41">
        <v>44169.794550682869</v>
      </c>
      <c r="B442" s="38">
        <v>17</v>
      </c>
      <c r="C442" s="35"/>
      <c r="D442" s="34"/>
      <c r="E442" s="34"/>
      <c r="F442" s="26"/>
      <c r="G442" s="26"/>
      <c r="H442" s="26"/>
      <c r="I442" s="26"/>
      <c r="J442" s="26"/>
      <c r="K442" s="26"/>
    </row>
    <row r="443" spans="1:11" ht="19.5" customHeight="1" x14ac:dyDescent="0.35">
      <c r="A443" s="41">
        <v>44169.794550729166</v>
      </c>
      <c r="B443" s="38">
        <v>16</v>
      </c>
      <c r="C443" s="35"/>
      <c r="D443" s="34"/>
      <c r="E443" s="34"/>
      <c r="F443" s="26"/>
      <c r="G443" s="26"/>
      <c r="H443" s="26"/>
      <c r="I443" s="26"/>
      <c r="J443" s="26"/>
      <c r="K443" s="26"/>
    </row>
    <row r="444" spans="1:11" ht="19.5" customHeight="1" x14ac:dyDescent="0.35">
      <c r="A444" s="41">
        <v>44169.79455082176</v>
      </c>
      <c r="B444" s="38">
        <v>17</v>
      </c>
      <c r="C444" s="35"/>
      <c r="D444" s="34"/>
      <c r="E444" s="34"/>
      <c r="F444" s="26"/>
      <c r="G444" s="26"/>
      <c r="H444" s="26"/>
      <c r="I444" s="26"/>
      <c r="J444" s="26"/>
      <c r="K444" s="26"/>
    </row>
    <row r="445" spans="1:11" ht="19.5" customHeight="1" x14ac:dyDescent="0.35">
      <c r="A445" s="41">
        <v>44169.794550868057</v>
      </c>
      <c r="B445" s="38">
        <v>17</v>
      </c>
      <c r="C445" s="35"/>
      <c r="D445" s="34"/>
      <c r="E445" s="34"/>
      <c r="F445" s="26"/>
      <c r="G445" s="26"/>
      <c r="H445" s="26"/>
      <c r="I445" s="26"/>
      <c r="J445" s="26"/>
      <c r="K445" s="26"/>
    </row>
    <row r="446" spans="1:11" ht="19.5" customHeight="1" x14ac:dyDescent="0.35">
      <c r="A446" s="41">
        <v>44169.794550960651</v>
      </c>
      <c r="B446" s="38">
        <v>17</v>
      </c>
      <c r="C446" s="35"/>
      <c r="D446" s="34"/>
      <c r="E446" s="34"/>
      <c r="F446" s="26"/>
      <c r="G446" s="26"/>
      <c r="H446" s="26"/>
      <c r="I446" s="26"/>
      <c r="J446" s="26"/>
      <c r="K446" s="26"/>
    </row>
    <row r="447" spans="1:11" ht="19.5" customHeight="1" x14ac:dyDescent="0.35">
      <c r="A447" s="41">
        <v>44169.794551053237</v>
      </c>
      <c r="B447" s="38">
        <v>672</v>
      </c>
      <c r="C447" s="35"/>
      <c r="D447" s="34"/>
      <c r="E447" s="34"/>
      <c r="F447" s="26"/>
      <c r="G447" s="26"/>
      <c r="H447" s="26"/>
      <c r="I447" s="26"/>
      <c r="J447" s="26"/>
      <c r="K447" s="26"/>
    </row>
    <row r="448" spans="1:11" ht="19.5" customHeight="1" x14ac:dyDescent="0.35">
      <c r="A448" s="41">
        <v>44169.79455111111</v>
      </c>
      <c r="B448" s="38">
        <v>17</v>
      </c>
      <c r="C448" s="35"/>
      <c r="D448" s="34"/>
      <c r="E448" s="34"/>
      <c r="F448" s="26"/>
      <c r="G448" s="26"/>
      <c r="H448" s="26"/>
      <c r="I448" s="26"/>
      <c r="J448" s="26"/>
      <c r="K448" s="26"/>
    </row>
    <row r="449" spans="1:11" ht="19.5" customHeight="1" x14ac:dyDescent="0.35">
      <c r="A449" s="41">
        <v>44169.794551203704</v>
      </c>
      <c r="B449" s="38">
        <v>17</v>
      </c>
      <c r="C449" s="35"/>
      <c r="D449" s="34"/>
      <c r="E449" s="34"/>
      <c r="F449" s="26"/>
      <c r="G449" s="26"/>
      <c r="H449" s="26"/>
      <c r="I449" s="26"/>
      <c r="J449" s="26"/>
      <c r="K449" s="26"/>
    </row>
    <row r="450" spans="1:11" ht="19.5" customHeight="1" x14ac:dyDescent="0.35">
      <c r="A450" s="41">
        <v>44169.794551250001</v>
      </c>
      <c r="B450" s="38">
        <v>17</v>
      </c>
      <c r="C450" s="35"/>
      <c r="D450" s="34"/>
      <c r="E450" s="34"/>
      <c r="F450" s="26"/>
      <c r="G450" s="26"/>
      <c r="H450" s="26"/>
      <c r="I450" s="26"/>
      <c r="J450" s="26"/>
      <c r="K450" s="26"/>
    </row>
    <row r="451" spans="1:11" ht="19.5" customHeight="1" x14ac:dyDescent="0.35">
      <c r="A451" s="41">
        <v>44169.794551342595</v>
      </c>
      <c r="B451" s="38">
        <v>17</v>
      </c>
      <c r="C451" s="35"/>
      <c r="D451" s="34"/>
      <c r="E451" s="34"/>
      <c r="F451" s="26"/>
      <c r="G451" s="26"/>
      <c r="H451" s="26"/>
      <c r="I451" s="26"/>
      <c r="J451" s="26"/>
      <c r="K451" s="26"/>
    </row>
    <row r="452" spans="1:11" ht="19.5" customHeight="1" x14ac:dyDescent="0.35">
      <c r="A452" s="41">
        <v>44169.79455140046</v>
      </c>
      <c r="B452" s="38">
        <v>16</v>
      </c>
      <c r="C452" s="35"/>
      <c r="D452" s="34"/>
      <c r="E452" s="34"/>
      <c r="F452" s="26"/>
      <c r="G452" s="26"/>
      <c r="H452" s="26"/>
      <c r="I452" s="26"/>
      <c r="J452" s="26"/>
      <c r="K452" s="26"/>
    </row>
    <row r="453" spans="1:11" ht="19.5" customHeight="1" x14ac:dyDescent="0.35">
      <c r="A453" s="41">
        <v>44169.794551493054</v>
      </c>
      <c r="B453" s="39">
        <v>672</v>
      </c>
      <c r="C453" s="36"/>
      <c r="D453" s="34"/>
      <c r="E453" s="34"/>
      <c r="F453" s="26"/>
      <c r="G453" s="26"/>
      <c r="H453" s="26"/>
      <c r="I453" s="26"/>
      <c r="J453" s="26"/>
      <c r="K453" s="26"/>
    </row>
    <row r="454" spans="1:11" ht="19.5" customHeight="1" x14ac:dyDescent="0.35">
      <c r="A454" s="41">
        <v>44169.794551574072</v>
      </c>
      <c r="B454" s="38">
        <v>17</v>
      </c>
      <c r="C454" s="35"/>
      <c r="D454" s="34"/>
      <c r="E454" s="34"/>
      <c r="F454" s="26"/>
      <c r="G454" s="26"/>
      <c r="H454" s="26"/>
      <c r="I454" s="26"/>
      <c r="J454" s="26"/>
      <c r="K454" s="26"/>
    </row>
    <row r="455" spans="1:11" ht="19.5" customHeight="1" x14ac:dyDescent="0.35">
      <c r="A455" s="41">
        <v>44169.794551631945</v>
      </c>
      <c r="B455" s="38">
        <v>17</v>
      </c>
      <c r="C455" s="35"/>
      <c r="D455" s="34"/>
      <c r="E455" s="34"/>
      <c r="F455" s="26"/>
      <c r="G455" s="26"/>
      <c r="H455" s="26"/>
      <c r="I455" s="26"/>
      <c r="J455" s="26"/>
      <c r="K455" s="26"/>
    </row>
    <row r="456" spans="1:11" ht="19.5" customHeight="1" x14ac:dyDescent="0.35">
      <c r="A456" s="41">
        <v>44169.794551724539</v>
      </c>
      <c r="B456" s="38">
        <v>17</v>
      </c>
      <c r="C456" s="35"/>
      <c r="D456" s="34"/>
      <c r="E456" s="34"/>
      <c r="F456" s="26"/>
      <c r="G456" s="26"/>
      <c r="H456" s="26"/>
      <c r="I456" s="26"/>
      <c r="J456" s="26"/>
      <c r="K456" s="26"/>
    </row>
    <row r="457" spans="1:11" ht="19.5" customHeight="1" x14ac:dyDescent="0.35">
      <c r="A457" s="41">
        <v>44169.794551770836</v>
      </c>
      <c r="B457" s="38">
        <v>17</v>
      </c>
      <c r="C457" s="35"/>
      <c r="D457" s="34"/>
      <c r="E457" s="34"/>
      <c r="F457" s="26"/>
      <c r="G457" s="26"/>
      <c r="H457" s="26"/>
      <c r="I457" s="26"/>
      <c r="J457" s="26"/>
      <c r="K457" s="26"/>
    </row>
    <row r="458" spans="1:11" ht="19.5" customHeight="1" x14ac:dyDescent="0.35">
      <c r="A458" s="41">
        <v>44169.794551863422</v>
      </c>
      <c r="B458" s="38">
        <v>16</v>
      </c>
      <c r="C458" s="35"/>
      <c r="D458" s="34"/>
      <c r="E458" s="34"/>
      <c r="F458" s="26"/>
      <c r="G458" s="26"/>
      <c r="H458" s="26"/>
      <c r="I458" s="26"/>
      <c r="J458" s="26"/>
      <c r="K458" s="26"/>
    </row>
    <row r="459" spans="1:11" ht="19.5" customHeight="1" x14ac:dyDescent="0.35">
      <c r="A459" s="41">
        <v>44169.794551909719</v>
      </c>
      <c r="B459" s="38">
        <v>16</v>
      </c>
      <c r="C459" s="35"/>
      <c r="D459" s="34"/>
      <c r="E459" s="34"/>
      <c r="F459" s="26"/>
      <c r="G459" s="26"/>
      <c r="H459" s="26"/>
      <c r="I459" s="26"/>
      <c r="J459" s="26"/>
      <c r="K459" s="26"/>
    </row>
    <row r="460" spans="1:11" ht="19.5" customHeight="1" x14ac:dyDescent="0.35">
      <c r="A460" s="41">
        <v>44169.794552002313</v>
      </c>
      <c r="B460" s="38">
        <v>16</v>
      </c>
      <c r="C460" s="35"/>
      <c r="D460" s="34"/>
      <c r="E460" s="34"/>
      <c r="F460" s="26"/>
      <c r="G460" s="26"/>
      <c r="H460" s="26"/>
      <c r="I460" s="26"/>
      <c r="J460" s="26"/>
      <c r="K460" s="26"/>
    </row>
    <row r="461" spans="1:11" ht="19.5" customHeight="1" x14ac:dyDescent="0.35">
      <c r="A461" s="41">
        <v>44169.794552060186</v>
      </c>
      <c r="B461" s="38">
        <v>17</v>
      </c>
      <c r="C461" s="35"/>
      <c r="D461" s="34"/>
      <c r="E461" s="34"/>
      <c r="F461" s="26"/>
      <c r="G461" s="26"/>
      <c r="H461" s="26"/>
      <c r="I461" s="26"/>
      <c r="J461" s="26"/>
      <c r="K461" s="26"/>
    </row>
    <row r="462" spans="1:11" ht="19.5" customHeight="1" x14ac:dyDescent="0.35">
      <c r="A462" s="41">
        <v>44169.79455215278</v>
      </c>
      <c r="B462" s="38">
        <v>17</v>
      </c>
      <c r="C462" s="35"/>
      <c r="D462" s="34"/>
      <c r="E462" s="34"/>
      <c r="F462" s="26"/>
      <c r="G462" s="26"/>
      <c r="H462" s="26"/>
      <c r="I462" s="26"/>
      <c r="J462" s="26"/>
      <c r="K462" s="26"/>
    </row>
    <row r="463" spans="1:11" ht="19.5" customHeight="1" x14ac:dyDescent="0.35">
      <c r="A463" s="41">
        <v>44169.794552199077</v>
      </c>
      <c r="B463" s="38">
        <v>17</v>
      </c>
      <c r="C463" s="35"/>
      <c r="D463" s="34"/>
      <c r="E463" s="34"/>
      <c r="F463" s="26"/>
      <c r="G463" s="26"/>
      <c r="H463" s="26"/>
      <c r="I463" s="26"/>
      <c r="J463" s="26"/>
      <c r="K463" s="26"/>
    </row>
    <row r="464" spans="1:11" ht="19.5" customHeight="1" x14ac:dyDescent="0.35">
      <c r="A464" s="41">
        <v>44169.794552291663</v>
      </c>
      <c r="B464" s="38">
        <v>17</v>
      </c>
      <c r="C464" s="35"/>
      <c r="D464" s="34"/>
      <c r="E464" s="34"/>
      <c r="F464" s="26"/>
      <c r="G464" s="26"/>
      <c r="H464" s="26"/>
      <c r="I464" s="26"/>
      <c r="J464" s="26"/>
      <c r="K464" s="26"/>
    </row>
    <row r="465" spans="1:11" ht="19.5" customHeight="1" x14ac:dyDescent="0.35">
      <c r="A465" s="41">
        <v>44169.79455233796</v>
      </c>
      <c r="B465" s="38">
        <v>17</v>
      </c>
      <c r="C465" s="35"/>
      <c r="D465" s="34"/>
      <c r="E465" s="34"/>
      <c r="F465" s="26"/>
      <c r="G465" s="26"/>
      <c r="H465" s="26"/>
      <c r="I465" s="26"/>
      <c r="J465" s="26"/>
      <c r="K465" s="26"/>
    </row>
    <row r="466" spans="1:11" ht="19.5" customHeight="1" x14ac:dyDescent="0.35">
      <c r="A466" s="41">
        <v>44169.79455244213</v>
      </c>
      <c r="B466" s="38">
        <v>17</v>
      </c>
      <c r="C466" s="35"/>
      <c r="D466" s="34"/>
      <c r="E466" s="34"/>
      <c r="F466" s="26"/>
      <c r="G466" s="26"/>
      <c r="H466" s="26"/>
      <c r="I466" s="26"/>
      <c r="J466" s="26"/>
      <c r="K466" s="26"/>
    </row>
    <row r="467" spans="1:11" ht="19.5" customHeight="1" x14ac:dyDescent="0.35">
      <c r="A467" s="41">
        <v>44169.794552476851</v>
      </c>
      <c r="B467" s="38">
        <v>17</v>
      </c>
      <c r="C467" s="35"/>
      <c r="D467" s="34"/>
      <c r="E467" s="34"/>
      <c r="F467" s="26"/>
      <c r="G467" s="26"/>
      <c r="H467" s="26"/>
      <c r="I467" s="26"/>
      <c r="J467" s="26"/>
      <c r="K467" s="26"/>
    </row>
    <row r="468" spans="1:11" ht="19.5" customHeight="1" x14ac:dyDescent="0.35">
      <c r="A468" s="41">
        <v>44169.794552569445</v>
      </c>
      <c r="B468" s="38">
        <v>17</v>
      </c>
      <c r="C468" s="35"/>
      <c r="D468" s="34"/>
      <c r="E468" s="34"/>
      <c r="F468" s="26"/>
      <c r="G468" s="26"/>
      <c r="H468" s="26"/>
      <c r="I468" s="26"/>
      <c r="J468" s="26"/>
      <c r="K468" s="26"/>
    </row>
    <row r="469" spans="1:11" ht="19.5" customHeight="1" x14ac:dyDescent="0.35">
      <c r="A469" s="41">
        <v>44169.794552627318</v>
      </c>
      <c r="B469" s="39">
        <v>16</v>
      </c>
      <c r="C469" s="36"/>
      <c r="D469" s="34"/>
      <c r="E469" s="34"/>
      <c r="F469" s="26"/>
      <c r="G469" s="26"/>
      <c r="H469" s="26"/>
      <c r="I469" s="26"/>
      <c r="J469" s="26"/>
      <c r="K469" s="26"/>
    </row>
    <row r="470" spans="1:11" ht="19.5" customHeight="1" x14ac:dyDescent="0.35">
      <c r="A470" s="41">
        <v>44169.794552719904</v>
      </c>
      <c r="B470" s="38">
        <v>17</v>
      </c>
      <c r="C470" s="35"/>
      <c r="D470" s="34"/>
      <c r="E470" s="34"/>
      <c r="F470" s="26"/>
      <c r="G470" s="26"/>
      <c r="H470" s="26"/>
      <c r="I470" s="26"/>
      <c r="J470" s="26"/>
      <c r="K470" s="26"/>
    </row>
    <row r="471" spans="1:11" ht="19.5" customHeight="1" x14ac:dyDescent="0.35">
      <c r="A471" s="41">
        <v>44169.794552766201</v>
      </c>
      <c r="B471" s="38">
        <v>17</v>
      </c>
      <c r="C471" s="35"/>
      <c r="D471" s="34"/>
      <c r="E471" s="34"/>
      <c r="F471" s="26"/>
      <c r="G471" s="26"/>
      <c r="H471" s="26"/>
      <c r="I471" s="26"/>
      <c r="J471" s="26"/>
      <c r="K471" s="26"/>
    </row>
    <row r="472" spans="1:11" ht="19.5" customHeight="1" x14ac:dyDescent="0.35">
      <c r="A472" s="41">
        <v>44169.794552858795</v>
      </c>
      <c r="B472" s="38">
        <v>17</v>
      </c>
      <c r="C472" s="35"/>
      <c r="D472" s="34"/>
      <c r="E472" s="34"/>
      <c r="F472" s="26"/>
      <c r="G472" s="26"/>
      <c r="H472" s="26"/>
      <c r="I472" s="26"/>
      <c r="J472" s="26"/>
      <c r="K472" s="26"/>
    </row>
    <row r="473" spans="1:11" ht="19.5" customHeight="1" x14ac:dyDescent="0.35">
      <c r="A473" s="41">
        <v>44169.794552905092</v>
      </c>
      <c r="B473" s="38">
        <v>16</v>
      </c>
      <c r="C473" s="35"/>
      <c r="D473" s="34"/>
      <c r="E473" s="34"/>
      <c r="F473" s="26"/>
      <c r="G473" s="26"/>
      <c r="H473" s="26"/>
      <c r="I473" s="26"/>
      <c r="J473" s="26"/>
      <c r="K473" s="26"/>
    </row>
    <row r="474" spans="1:11" ht="19.5" customHeight="1" x14ac:dyDescent="0.35">
      <c r="A474" s="41">
        <v>44169.794552997686</v>
      </c>
      <c r="B474" s="38">
        <v>17</v>
      </c>
      <c r="C474" s="35"/>
      <c r="D474" s="34"/>
      <c r="E474" s="34"/>
      <c r="F474" s="26"/>
      <c r="G474" s="26"/>
      <c r="H474" s="26"/>
      <c r="I474" s="26"/>
      <c r="J474" s="26"/>
      <c r="K474" s="26"/>
    </row>
    <row r="475" spans="1:11" ht="19.5" customHeight="1" x14ac:dyDescent="0.35">
      <c r="A475" s="41">
        <v>44169.794553101849</v>
      </c>
      <c r="B475" s="38">
        <v>17</v>
      </c>
      <c r="C475" s="35"/>
      <c r="D475" s="34"/>
      <c r="E475" s="34"/>
      <c r="F475" s="26"/>
      <c r="G475" s="26"/>
      <c r="H475" s="26"/>
      <c r="I475" s="26"/>
      <c r="J475" s="26"/>
      <c r="K475" s="26"/>
    </row>
    <row r="476" spans="1:11" ht="19.5" customHeight="1" x14ac:dyDescent="0.35">
      <c r="A476" s="41">
        <v>44169.794553148145</v>
      </c>
      <c r="B476" s="38">
        <v>17</v>
      </c>
      <c r="C476" s="35"/>
      <c r="D476" s="34"/>
      <c r="E476" s="34"/>
      <c r="F476" s="26"/>
      <c r="G476" s="26"/>
      <c r="H476" s="26"/>
      <c r="I476" s="26"/>
      <c r="J476" s="26"/>
      <c r="K476" s="26"/>
    </row>
    <row r="477" spans="1:11" ht="19.5" customHeight="1" x14ac:dyDescent="0.35">
      <c r="A477" s="41">
        <v>44169.794553240739</v>
      </c>
      <c r="B477" s="38">
        <v>16</v>
      </c>
      <c r="C477" s="35"/>
      <c r="D477" s="34"/>
      <c r="E477" s="34"/>
      <c r="F477" s="26"/>
      <c r="G477" s="26"/>
      <c r="H477" s="26"/>
      <c r="I477" s="26"/>
      <c r="J477" s="26"/>
      <c r="K477" s="26"/>
    </row>
    <row r="478" spans="1:11" ht="19.5" customHeight="1" x14ac:dyDescent="0.35">
      <c r="A478" s="41">
        <v>44169.794553287036</v>
      </c>
      <c r="B478" s="38">
        <v>17</v>
      </c>
      <c r="C478" s="35"/>
      <c r="D478" s="34"/>
      <c r="E478" s="34"/>
      <c r="F478" s="26"/>
      <c r="G478" s="26"/>
      <c r="H478" s="26"/>
      <c r="I478" s="26"/>
      <c r="J478" s="26"/>
      <c r="K478" s="26"/>
    </row>
    <row r="479" spans="1:11" ht="19.5" customHeight="1" x14ac:dyDescent="0.35">
      <c r="A479" s="41">
        <v>44169.79455337963</v>
      </c>
      <c r="B479" s="38">
        <v>16</v>
      </c>
      <c r="C479" s="35"/>
      <c r="D479" s="34"/>
      <c r="E479" s="34"/>
      <c r="F479" s="26"/>
      <c r="G479" s="26"/>
      <c r="H479" s="26"/>
      <c r="I479" s="26"/>
      <c r="J479" s="26"/>
      <c r="K479" s="26"/>
    </row>
    <row r="480" spans="1:11" ht="19.5" customHeight="1" x14ac:dyDescent="0.35">
      <c r="A480" s="41">
        <v>44169.794553425927</v>
      </c>
      <c r="B480" s="38">
        <v>17</v>
      </c>
      <c r="C480" s="35"/>
      <c r="D480" s="34"/>
      <c r="E480" s="34"/>
      <c r="F480" s="26"/>
      <c r="G480" s="26"/>
      <c r="H480" s="26"/>
      <c r="I480" s="26"/>
      <c r="J480" s="26"/>
      <c r="K480" s="26"/>
    </row>
    <row r="481" spans="1:11" ht="19.5" customHeight="1" x14ac:dyDescent="0.35">
      <c r="A481" s="41">
        <v>44169.794553518521</v>
      </c>
      <c r="B481" s="38">
        <v>16</v>
      </c>
      <c r="C481" s="35"/>
      <c r="D481" s="34"/>
      <c r="E481" s="34"/>
      <c r="F481" s="26"/>
      <c r="G481" s="26"/>
      <c r="H481" s="26"/>
      <c r="I481" s="26"/>
      <c r="J481" s="26"/>
      <c r="K481" s="26"/>
    </row>
    <row r="482" spans="1:11" ht="19.5" customHeight="1" x14ac:dyDescent="0.35">
      <c r="A482" s="41">
        <v>44169.794553576387</v>
      </c>
      <c r="B482" s="38">
        <v>17</v>
      </c>
      <c r="C482" s="35"/>
      <c r="D482" s="34"/>
      <c r="E482" s="34"/>
      <c r="F482" s="26"/>
      <c r="G482" s="26"/>
      <c r="H482" s="26"/>
      <c r="I482" s="26"/>
      <c r="J482" s="26"/>
      <c r="K482" s="26"/>
    </row>
    <row r="483" spans="1:11" ht="19.5" customHeight="1" x14ac:dyDescent="0.35">
      <c r="A483" s="41">
        <v>44169.79455366898</v>
      </c>
      <c r="B483" s="38">
        <v>17</v>
      </c>
      <c r="C483" s="35"/>
      <c r="D483" s="34"/>
      <c r="E483" s="34"/>
      <c r="F483" s="26"/>
      <c r="G483" s="26"/>
      <c r="H483" s="26"/>
      <c r="I483" s="26"/>
      <c r="J483" s="26"/>
      <c r="K483" s="26"/>
    </row>
    <row r="484" spans="1:11" ht="19.5" customHeight="1" x14ac:dyDescent="0.35">
      <c r="A484" s="41">
        <v>44169.794553715277</v>
      </c>
      <c r="B484" s="39">
        <v>17</v>
      </c>
      <c r="C484" s="36"/>
      <c r="D484" s="34"/>
      <c r="E484" s="34"/>
      <c r="F484" s="26"/>
      <c r="G484" s="26"/>
      <c r="H484" s="26"/>
      <c r="I484" s="26"/>
      <c r="J484" s="26"/>
      <c r="K484" s="26"/>
    </row>
    <row r="485" spans="1:11" ht="19.5" customHeight="1" x14ac:dyDescent="0.35">
      <c r="A485" s="41">
        <v>44169.794553807871</v>
      </c>
      <c r="B485" s="38">
        <v>17</v>
      </c>
      <c r="C485" s="35"/>
      <c r="D485" s="34"/>
      <c r="E485" s="34"/>
      <c r="F485" s="26"/>
      <c r="G485" s="26"/>
      <c r="H485" s="26"/>
      <c r="I485" s="26"/>
      <c r="J485" s="26"/>
      <c r="K485" s="26"/>
    </row>
    <row r="486" spans="1:11" ht="19.5" customHeight="1" x14ac:dyDescent="0.35">
      <c r="A486" s="41">
        <v>44169.794553854168</v>
      </c>
      <c r="B486" s="38">
        <v>17</v>
      </c>
      <c r="C486" s="35"/>
      <c r="D486" s="34"/>
      <c r="E486" s="34"/>
      <c r="F486" s="26"/>
      <c r="G486" s="26"/>
      <c r="H486" s="26"/>
      <c r="I486" s="26"/>
      <c r="J486" s="26"/>
      <c r="K486" s="26"/>
    </row>
    <row r="487" spans="1:11" ht="19.5" customHeight="1" x14ac:dyDescent="0.35">
      <c r="A487" s="41">
        <v>44169.794553946762</v>
      </c>
      <c r="B487" s="38">
        <v>17</v>
      </c>
      <c r="C487" s="35"/>
      <c r="D487" s="34"/>
      <c r="E487" s="34"/>
      <c r="F487" s="26"/>
      <c r="G487" s="26"/>
      <c r="H487" s="26"/>
      <c r="I487" s="26"/>
      <c r="J487" s="26"/>
      <c r="K487" s="26"/>
    </row>
    <row r="488" spans="1:11" ht="19.5" customHeight="1" x14ac:dyDescent="0.35">
      <c r="A488" s="41">
        <v>44169.794553993059</v>
      </c>
      <c r="B488" s="38">
        <v>17</v>
      </c>
      <c r="C488" s="35"/>
      <c r="D488" s="34"/>
      <c r="E488" s="34"/>
      <c r="F488" s="26"/>
      <c r="G488" s="26"/>
      <c r="H488" s="26"/>
      <c r="I488" s="26"/>
      <c r="J488" s="26"/>
      <c r="K488" s="26"/>
    </row>
    <row r="489" spans="1:11" ht="19.5" customHeight="1" x14ac:dyDescent="0.35">
      <c r="A489" s="41">
        <v>44169.794554097221</v>
      </c>
      <c r="B489" s="38">
        <v>17</v>
      </c>
      <c r="C489" s="35"/>
      <c r="D489" s="34"/>
      <c r="E489" s="34"/>
      <c r="F489" s="26"/>
      <c r="G489" s="26"/>
      <c r="H489" s="26"/>
      <c r="I489" s="26"/>
      <c r="J489" s="26"/>
      <c r="K489" s="26"/>
    </row>
    <row r="490" spans="1:11" ht="19.5" customHeight="1" x14ac:dyDescent="0.35">
      <c r="A490" s="41">
        <v>44169.794554143518</v>
      </c>
      <c r="B490" s="38">
        <v>16</v>
      </c>
      <c r="C490" s="35"/>
      <c r="D490" s="34"/>
      <c r="E490" s="34"/>
      <c r="F490" s="26"/>
      <c r="G490" s="26"/>
      <c r="H490" s="26"/>
      <c r="I490" s="26"/>
      <c r="J490" s="26"/>
      <c r="K490" s="26"/>
    </row>
    <row r="491" spans="1:11" ht="19.5" customHeight="1" x14ac:dyDescent="0.35">
      <c r="A491" s="41">
        <v>44169.794554236112</v>
      </c>
      <c r="B491" s="38">
        <v>17</v>
      </c>
      <c r="C491" s="35"/>
      <c r="D491" s="34"/>
      <c r="E491" s="34"/>
      <c r="F491" s="26"/>
      <c r="G491" s="26"/>
      <c r="H491" s="26"/>
      <c r="I491" s="26"/>
      <c r="J491" s="26"/>
      <c r="K491" s="26"/>
    </row>
    <row r="492" spans="1:11" ht="19.5" customHeight="1" x14ac:dyDescent="0.35">
      <c r="A492" s="41">
        <v>44169.794554282409</v>
      </c>
      <c r="B492" s="38">
        <v>16</v>
      </c>
      <c r="C492" s="35"/>
      <c r="D492" s="34"/>
      <c r="E492" s="34"/>
      <c r="F492" s="26"/>
      <c r="G492" s="26"/>
      <c r="H492" s="26"/>
      <c r="I492" s="26"/>
      <c r="J492" s="26"/>
      <c r="K492" s="26"/>
    </row>
    <row r="493" spans="1:11" ht="19.5" customHeight="1" x14ac:dyDescent="0.35">
      <c r="A493" s="41">
        <v>44169.794554375003</v>
      </c>
      <c r="B493" s="38">
        <v>672</v>
      </c>
      <c r="C493" s="35"/>
      <c r="D493" s="34"/>
      <c r="E493" s="34"/>
      <c r="F493" s="26"/>
      <c r="G493" s="26"/>
      <c r="H493" s="26"/>
      <c r="I493" s="26"/>
      <c r="J493" s="26"/>
      <c r="K493" s="26"/>
    </row>
    <row r="494" spans="1:11" ht="19.5" customHeight="1" x14ac:dyDescent="0.35">
      <c r="A494" s="41">
        <v>44169.794554467589</v>
      </c>
      <c r="B494" s="38">
        <v>17</v>
      </c>
      <c r="C494" s="35"/>
      <c r="D494" s="34"/>
      <c r="E494" s="34"/>
      <c r="F494" s="26"/>
      <c r="G494" s="26"/>
      <c r="H494" s="26"/>
      <c r="I494" s="26"/>
      <c r="J494" s="26"/>
      <c r="K494" s="26"/>
    </row>
    <row r="495" spans="1:11" ht="19.5" customHeight="1" x14ac:dyDescent="0.35">
      <c r="A495" s="41">
        <v>44169.794554513886</v>
      </c>
      <c r="B495" s="38">
        <v>16</v>
      </c>
      <c r="C495" s="35"/>
      <c r="D495" s="34"/>
      <c r="E495" s="34"/>
      <c r="F495" s="26"/>
      <c r="G495" s="26"/>
      <c r="H495" s="26"/>
      <c r="I495" s="26"/>
      <c r="J495" s="26"/>
      <c r="K495" s="26"/>
    </row>
    <row r="496" spans="1:11" ht="19.5" customHeight="1" x14ac:dyDescent="0.35">
      <c r="A496" s="41">
        <v>44169.79455460648</v>
      </c>
      <c r="B496" s="38">
        <v>16</v>
      </c>
      <c r="C496" s="35"/>
      <c r="D496" s="34"/>
      <c r="E496" s="34"/>
      <c r="F496" s="26"/>
      <c r="G496" s="26"/>
      <c r="H496" s="26"/>
      <c r="I496" s="26"/>
      <c r="J496" s="26"/>
      <c r="K496" s="26"/>
    </row>
    <row r="497" spans="1:12" ht="19.5" customHeight="1" x14ac:dyDescent="0.35">
      <c r="A497" s="41">
        <v>44169.794554664353</v>
      </c>
      <c r="B497" s="38">
        <v>17</v>
      </c>
      <c r="C497" s="35"/>
      <c r="D497" s="34"/>
      <c r="E497" s="34"/>
      <c r="F497" s="26"/>
      <c r="G497" s="26"/>
      <c r="H497" s="26"/>
      <c r="I497" s="26"/>
      <c r="J497" s="26"/>
      <c r="K497" s="26"/>
    </row>
    <row r="498" spans="1:12" ht="19.5" customHeight="1" x14ac:dyDescent="0.35">
      <c r="A498" s="41">
        <v>44169.794554756947</v>
      </c>
      <c r="B498" s="38">
        <v>17</v>
      </c>
      <c r="C498" s="35"/>
      <c r="D498" s="34"/>
      <c r="E498" s="34"/>
      <c r="F498" s="26"/>
      <c r="G498" s="26"/>
      <c r="H498" s="26"/>
      <c r="I498" s="26"/>
      <c r="J498" s="26"/>
      <c r="K498" s="26"/>
    </row>
    <row r="499" spans="1:12" ht="19.5" customHeight="1" x14ac:dyDescent="0.35">
      <c r="A499" s="41">
        <v>44169.794554849534</v>
      </c>
      <c r="B499" s="38">
        <v>672</v>
      </c>
      <c r="C499" s="35"/>
      <c r="D499" s="34"/>
      <c r="E499" s="34"/>
      <c r="F499" s="26"/>
      <c r="G499" s="26"/>
      <c r="H499" s="26"/>
      <c r="I499" s="26"/>
      <c r="J499" s="26"/>
      <c r="K499" s="26"/>
    </row>
    <row r="500" spans="1:12" ht="19.5" customHeight="1" x14ac:dyDescent="0.35">
      <c r="A500" s="41">
        <v>44169.794554895831</v>
      </c>
      <c r="B500" s="39">
        <v>17</v>
      </c>
      <c r="C500" s="36"/>
      <c r="D500" s="34"/>
      <c r="E500" s="34"/>
      <c r="F500" s="26"/>
      <c r="G500" s="26"/>
      <c r="H500" s="26"/>
      <c r="I500" s="26"/>
      <c r="J500" s="26"/>
      <c r="K500" s="26"/>
    </row>
    <row r="501" spans="1:12" ht="19.5" customHeight="1" x14ac:dyDescent="0.35">
      <c r="A501" s="41">
        <v>44169.794554988424</v>
      </c>
      <c r="B501" s="38">
        <v>17</v>
      </c>
      <c r="C501" s="35"/>
      <c r="D501" s="34"/>
      <c r="E501" s="34"/>
      <c r="F501" s="26"/>
      <c r="G501" s="26"/>
      <c r="H501" s="26"/>
      <c r="I501" s="26"/>
      <c r="J501" s="26"/>
      <c r="K501" s="26"/>
    </row>
    <row r="502" spans="1:12" ht="19.5" customHeight="1" x14ac:dyDescent="0.35">
      <c r="A502" s="41">
        <v>44169.794555046297</v>
      </c>
      <c r="B502" s="38">
        <v>17</v>
      </c>
      <c r="C502" s="35"/>
      <c r="D502" s="34"/>
      <c r="E502" s="34"/>
      <c r="F502" s="26"/>
      <c r="G502" s="26"/>
      <c r="H502" s="26"/>
      <c r="I502" s="26"/>
      <c r="J502" s="26"/>
      <c r="K502" s="26"/>
    </row>
    <row r="503" spans="1:12" ht="19.5" customHeight="1" x14ac:dyDescent="0.35">
      <c r="A503" s="41">
        <v>44169.794555138891</v>
      </c>
      <c r="B503" s="38">
        <v>17</v>
      </c>
      <c r="C503" s="35"/>
      <c r="D503" s="34"/>
      <c r="E503" s="34"/>
      <c r="F503" s="26"/>
      <c r="G503" s="26"/>
      <c r="H503" s="26"/>
      <c r="I503" s="26"/>
      <c r="J503" s="26"/>
      <c r="K503" s="26"/>
    </row>
    <row r="504" spans="1:12" ht="19.5" customHeight="1" x14ac:dyDescent="0.35">
      <c r="A504" s="41">
        <v>44169.794555185188</v>
      </c>
      <c r="B504" s="38">
        <v>17</v>
      </c>
      <c r="C504" s="35"/>
      <c r="D504" s="34"/>
      <c r="E504" s="34"/>
      <c r="F504" s="26"/>
      <c r="G504" s="26"/>
      <c r="H504" s="26"/>
      <c r="I504" s="26"/>
      <c r="J504" s="26"/>
      <c r="K504" s="26"/>
    </row>
    <row r="505" spans="1:12" ht="19.5" customHeight="1" x14ac:dyDescent="0.35">
      <c r="A505" s="41">
        <v>44169.794555277775</v>
      </c>
      <c r="B505" s="38">
        <v>672</v>
      </c>
      <c r="C505" s="35"/>
      <c r="D505" s="34"/>
      <c r="E505" s="34"/>
      <c r="F505" s="26"/>
      <c r="G505" s="26"/>
      <c r="H505" s="26"/>
      <c r="I505" s="26"/>
      <c r="J505" s="26"/>
      <c r="K505" s="26"/>
    </row>
    <row r="506" spans="1:12" ht="19.5" customHeight="1" x14ac:dyDescent="0.35">
      <c r="A506" s="41">
        <v>44169.794555324072</v>
      </c>
      <c r="B506" s="38">
        <v>17</v>
      </c>
      <c r="C506" s="35"/>
      <c r="D506" s="34"/>
      <c r="E506" s="34"/>
      <c r="F506" s="26"/>
      <c r="G506" s="26"/>
      <c r="H506" s="26"/>
      <c r="I506" s="26"/>
      <c r="J506" s="26"/>
      <c r="K506" s="26"/>
    </row>
    <row r="507" spans="1:12" ht="19.5" customHeight="1" thickBot="1" x14ac:dyDescent="0.4">
      <c r="A507" s="42">
        <v>44169.794555416665</v>
      </c>
      <c r="B507" s="43">
        <v>17</v>
      </c>
      <c r="C507" s="44"/>
      <c r="D507" s="34"/>
      <c r="E507" s="34"/>
      <c r="F507" s="26"/>
      <c r="G507" s="26"/>
      <c r="H507" s="26"/>
      <c r="I507" s="26"/>
      <c r="J507" s="26"/>
      <c r="K507" s="26"/>
      <c r="L507" s="29"/>
    </row>
    <row r="508" spans="1:12" ht="16.05" customHeight="1" thickTop="1" x14ac:dyDescent="0.45"/>
  </sheetData>
  <mergeCells count="4">
    <mergeCell ref="A1:J1"/>
    <mergeCell ref="A2:J2"/>
    <mergeCell ref="A3:B3"/>
    <mergeCell ref="A6:B6"/>
  </mergeCells>
  <phoneticPr fontId="13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F9-0B14-41E6-A7C5-C361F1D733DB}">
  <sheetPr codeName="Sheet4"/>
  <dimension ref="A1:K6"/>
  <sheetViews>
    <sheetView workbookViewId="0">
      <selection sqref="A1:J1"/>
    </sheetView>
  </sheetViews>
  <sheetFormatPr defaultColWidth="11.3984375" defaultRowHeight="16.5" x14ac:dyDescent="0.45"/>
  <cols>
    <col min="1" max="16384" width="11.3984375" style="7"/>
  </cols>
  <sheetData>
    <row r="1" spans="1:11" ht="40.049999999999997" customHeight="1" x14ac:dyDescent="0.95">
      <c r="A1" s="49" t="s">
        <v>18</v>
      </c>
      <c r="B1" s="49"/>
      <c r="C1" s="49"/>
      <c r="D1" s="49"/>
      <c r="E1" s="49"/>
      <c r="F1" s="49"/>
      <c r="G1" s="49"/>
      <c r="H1" s="49"/>
      <c r="I1" s="49"/>
      <c r="J1" s="49"/>
      <c r="K1" s="8" t="s">
        <v>0</v>
      </c>
    </row>
    <row r="2" spans="1:11" ht="32" customHeight="1" x14ac:dyDescent="0.45">
      <c r="A2" s="50" t="s">
        <v>19</v>
      </c>
      <c r="B2" s="50"/>
      <c r="C2" s="50"/>
      <c r="D2" s="50"/>
      <c r="E2" s="50"/>
      <c r="F2" s="50"/>
      <c r="G2" s="50"/>
      <c r="H2" s="50"/>
      <c r="I2" s="50"/>
      <c r="J2" s="50"/>
    </row>
    <row r="3" spans="1:11" ht="33.5" customHeight="1" x14ac:dyDescent="0.45">
      <c r="A3" s="51"/>
      <c r="B3" s="51"/>
      <c r="C3" s="51"/>
      <c r="D3" s="51"/>
      <c r="E3" s="51"/>
      <c r="F3" s="51"/>
      <c r="G3" s="51"/>
      <c r="H3" s="51"/>
      <c r="I3" s="51"/>
      <c r="J3" s="51"/>
    </row>
    <row r="4" spans="1:11" s="9" customFormat="1" x14ac:dyDescent="0.6">
      <c r="A4" s="11" t="s">
        <v>17</v>
      </c>
    </row>
    <row r="5" spans="1:11" s="10" customFormat="1" ht="27" customHeight="1" thickBot="1" x14ac:dyDescent="0.65">
      <c r="A5" s="12"/>
      <c r="B5" s="13"/>
      <c r="C5" s="13"/>
      <c r="D5" s="13"/>
      <c r="E5" s="13"/>
      <c r="F5" s="13"/>
      <c r="G5" s="13"/>
      <c r="H5" s="13"/>
      <c r="I5" s="13"/>
      <c r="J5" s="13"/>
    </row>
    <row r="6" spans="1:11" ht="16.899999999999999" thickTop="1" x14ac:dyDescent="0.45"/>
  </sheetData>
  <mergeCells count="3">
    <mergeCell ref="A1:J1"/>
    <mergeCell ref="A2:J2"/>
    <mergeCell ref="A3:J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28A7-1BF9-4E8F-8630-46266C0DA62F}">
  <sheetPr codeName="Sheet5"/>
  <dimension ref="A1:K12"/>
  <sheetViews>
    <sheetView workbookViewId="0">
      <selection activeCell="C9" sqref="C9"/>
    </sheetView>
  </sheetViews>
  <sheetFormatPr defaultRowHeight="16.5" x14ac:dyDescent="0.45"/>
  <cols>
    <col min="1" max="1" width="30.59765625" style="1" customWidth="1"/>
    <col min="2" max="2" width="0.1328125" style="1" customWidth="1"/>
    <col min="3" max="3" width="30.59765625" style="1" customWidth="1"/>
    <col min="4" max="16384" width="9.06640625" style="1"/>
  </cols>
  <sheetData>
    <row r="1" spans="1:11" ht="40.049999999999997" customHeight="1" x14ac:dyDescent="0.95">
      <c r="A1" s="52" t="s">
        <v>1</v>
      </c>
      <c r="B1" s="52"/>
      <c r="C1" s="52"/>
      <c r="D1" s="52"/>
      <c r="E1" s="52"/>
      <c r="F1" s="52"/>
      <c r="H1" s="3" t="s">
        <v>0</v>
      </c>
      <c r="K1" s="2" t="s">
        <v>0</v>
      </c>
    </row>
    <row r="2" spans="1:11" ht="50" customHeight="1" x14ac:dyDescent="0.45">
      <c r="A2" s="53" t="s">
        <v>2</v>
      </c>
      <c r="B2" s="53"/>
      <c r="C2" s="53"/>
      <c r="D2" s="53"/>
      <c r="E2" s="53"/>
      <c r="F2" s="53"/>
    </row>
    <row r="3" spans="1:11" ht="4.5" customHeight="1" x14ac:dyDescent="0.45"/>
    <row r="4" spans="1:11" ht="24" customHeight="1" x14ac:dyDescent="0.45">
      <c r="A4" s="4" t="s">
        <v>3</v>
      </c>
      <c r="B4" s="5" t="s">
        <v>4</v>
      </c>
      <c r="C4" s="6">
        <v>10</v>
      </c>
    </row>
    <row r="5" spans="1:11" ht="4.5" customHeight="1" x14ac:dyDescent="0.45"/>
    <row r="6" spans="1:11" ht="24" customHeight="1" x14ac:dyDescent="0.45">
      <c r="A6" s="4" t="s">
        <v>5</v>
      </c>
      <c r="B6" s="5" t="s">
        <v>6</v>
      </c>
      <c r="C6" s="6">
        <v>500</v>
      </c>
    </row>
    <row r="7" spans="1:11" ht="4.5" customHeight="1" x14ac:dyDescent="0.45"/>
    <row r="8" spans="1:11" ht="24" customHeight="1" x14ac:dyDescent="0.45">
      <c r="A8" s="4" t="s">
        <v>7</v>
      </c>
      <c r="B8" s="5" t="s">
        <v>8</v>
      </c>
      <c r="C8" s="6">
        <v>1</v>
      </c>
    </row>
    <row r="9" spans="1:11" ht="4.5" customHeight="1" x14ac:dyDescent="0.45"/>
    <row r="10" spans="1:11" ht="24" customHeight="1" x14ac:dyDescent="0.45">
      <c r="A10" s="4" t="s">
        <v>9</v>
      </c>
      <c r="B10" s="5" t="s">
        <v>10</v>
      </c>
      <c r="C10" s="6"/>
    </row>
    <row r="12" spans="1:11" ht="42" customHeight="1" x14ac:dyDescent="0.45">
      <c r="A12" s="54" t="s">
        <v>11</v>
      </c>
      <c r="B12" s="54"/>
      <c r="C12" s="54"/>
      <c r="D12" s="54"/>
      <c r="E12" s="54"/>
      <c r="F12" s="54"/>
      <c r="G12" s="54"/>
    </row>
  </sheetData>
  <sheetProtection sheet="1" objects="1" scenarios="1"/>
  <mergeCells count="3">
    <mergeCell ref="A1:F1"/>
    <mergeCell ref="A2:F2"/>
    <mergeCell ref="A12:G12"/>
  </mergeCells>
  <dataValidations count="4">
    <dataValidation allowBlank="1" showInputMessage="1" prompt="Minimum duration between data readings, in milliseconds. 10 to 1000" sqref="C4" xr:uid="{5156EEA7-6F05-487B-B554-933D795B30F8}"/>
    <dataValidation allowBlank="1" showInputMessage="1" prompt="Number of historical data rows to keep. 1 to 500" sqref="C6" xr:uid="{825B574E-4B03-402F-A861-DBF0CD7B7861}"/>
    <dataValidation allowBlank="1" showInputMessage="1" prompt="Number of data columns to read/write. 1 to 100" sqref="C8" xr:uid="{F08560E9-E662-472B-B5BE-3C0AABF0C69C}"/>
    <dataValidation type="list" errorStyle="information" allowBlank="1" showInputMessage="1" prompt="Sort historical data by newest first or last." sqref="C10" xr:uid="{03BBAF83-8D1D-4FEA-9E08-56C43DBAFFB5}">
      <formula1>"Newest first,Newest last"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Sheet1</vt:lpstr>
      <vt:lpstr>Data In</vt:lpstr>
      <vt:lpstr>Data Out</vt:lpstr>
      <vt:lpstr>Settings</vt:lpstr>
      <vt:lpstr>DataChannelCountDefault</vt:lpstr>
      <vt:lpstr>DataChannelCountSetting</vt:lpstr>
      <vt:lpstr>DataDelayDefault</vt:lpstr>
      <vt:lpstr>DataDelaySetting</vt:lpstr>
      <vt:lpstr>DataOrientationDefault</vt:lpstr>
      <vt:lpstr>DataOrientationSetting</vt:lpstr>
      <vt:lpstr>DataRowCountDefault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Sanjiv Venkatram</dc:creator>
  <cp:lastModifiedBy>Sanjiv Venkatram</cp:lastModifiedBy>
  <dcterms:created xsi:type="dcterms:W3CDTF">2020-11-27T04:49:46Z</dcterms:created>
  <dcterms:modified xsi:type="dcterms:W3CDTF">2020-12-04T11:04:26Z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eb4ca3dd-4aba-4ae4-bba5-3a5bb26f62b8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