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udentia-my.sharepoint.com/personal/sanjiv_prudentia-consulting_com/Documents/Prudentia Consulting/Business Development/Copilot/"/>
    </mc:Choice>
  </mc:AlternateContent>
  <xr:revisionPtr revIDLastSave="0" documentId="8_{75F0ADE6-1B51-4DC1-B026-46A902978904}" xr6:coauthVersionLast="47" xr6:coauthVersionMax="47" xr10:uidLastSave="{00000000-0000-0000-0000-000000000000}"/>
  <bookViews>
    <workbookView xWindow="-110" yWindow="-110" windowWidth="25820" windowHeight="15500" activeTab="2" xr2:uid="{C1D4144B-0820-499D-BD2C-B1C4CD37C1BE}"/>
  </bookViews>
  <sheets>
    <sheet name="Data In" sheetId="5" r:id="rId1"/>
    <sheet name="Data Out" sheetId="4" r:id="rId2"/>
    <sheet name="Sheet6" sheetId="6" r:id="rId3"/>
    <sheet name="Settings" sheetId="3" r:id="rId4"/>
    <sheet name="Manifest" sheetId="2" r:id="rId5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BaudRate">Manifest!$I$9</definedName>
    <definedName name="Manifest_DataInterval">Manifest!$I$7</definedName>
    <definedName name="Manifest_Generated">Manifest!$K$5</definedName>
    <definedName name="Manifest_Id">Manifest!$I$5:$J$5</definedName>
    <definedName name="Manifest_Schema">Manifest!$L$1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6" l="1" a="1"/>
  <c r="F2" i="6" s="1"/>
  <c r="B5" i="4" s="1"/>
  <c r="F5" i="4"/>
  <c r="E5" i="4"/>
  <c r="D5" i="4"/>
  <c r="C5" i="4"/>
  <c r="A5" i="4"/>
  <c r="B11" i="6"/>
  <c r="A1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<sst xmlns="http://schemas.openxmlformats.org/spreadsheetml/2006/main" count="132" uniqueCount="72">
  <si>
    <t>Channels</t>
  </si>
  <si>
    <t>Data Source Id</t>
  </si>
  <si>
    <t>Data Interval (ms)</t>
  </si>
  <si>
    <t>Baud Rate</t>
  </si>
  <si>
    <t>USB Serial Device</t>
  </si>
  <si>
    <t>This manifest was generated for the connected device. You can edit the device name and channel data here and the Data In worksheet will be updated.</t>
  </si>
  <si>
    <t>Id</t>
  </si>
  <si>
    <t>Name</t>
  </si>
  <si>
    <t>Description</t>
  </si>
  <si>
    <t>Unit of Measure</t>
  </si>
  <si>
    <t>Active</t>
  </si>
  <si>
    <t>CH1</t>
  </si>
  <si>
    <t>ü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</si>
  <si>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</si>
  <si>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</si>
  <si>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</si>
  <si>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</si>
  <si>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</si>
  <si>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</si>
  <si>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</si>
  <si>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</si>
  <si>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</si>
  <si>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</si>
  <si>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</si>
  <si>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</si>
  <si>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</si>
  <si>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</si>
  <si>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</si>
  <si>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</si>
  <si>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1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</si>
  <si>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</si>
  <si>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</si>
  <si>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Data In (From USB Serial Device (COM3))</t>
  </si>
  <si>
    <t>Data coming from the current data source will appear below as it is received.</t>
  </si>
  <si>
    <t>Current Data</t>
  </si>
  <si>
    <t>TIME</t>
  </si>
  <si>
    <t>Historical Data</t>
  </si>
  <si>
    <t>HUE</t>
  </si>
  <si>
    <t>COLOR TEMP</t>
  </si>
  <si>
    <t>TRANSITION</t>
  </si>
  <si>
    <t>ACK:SENT</t>
  </si>
  <si>
    <t>Date</t>
  </si>
  <si>
    <t>Status</t>
  </si>
  <si>
    <t>Command</t>
  </si>
  <si>
    <t>COM</t>
  </si>
  <si>
    <t>SAT</t>
  </si>
  <si>
    <t>BRIGHT</t>
  </si>
  <si>
    <t>Response</t>
  </si>
  <si>
    <t>My mood right now</t>
  </si>
  <si>
    <t>Value of "hue" per Copilot formula in excel</t>
  </si>
  <si>
    <t>F060E04F-978B-4CCC-86CA-D309272F31E4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</si>
  <si>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150,"Id":"F060E04F-978B-4CCC-86CA-D309272F31E4","IsGenerated":true,"Name":"USB Serial Device","Version":null,"BaudRate":9600}</t>
  </si>
  <si>
    <t>Thrilled</t>
  </si>
  <si>
    <t>DBG:RAW=color</t>
  </si>
  <si>
    <t/>
  </si>
  <si>
    <t>DBG:JSON={"smartlife.iot.smartbulb.lightingservice":{"transition_light_state":{"on_off":1</t>
  </si>
  <si>
    <t>RESP:NONE</t>
  </si>
  <si>
    <t>RESP:{"smartlife.iot.smartbulb.lightingservice":{"transition_light_state":{"on_off":1</t>
  </si>
  <si>
    <t>mode:normal</t>
  </si>
  <si>
    <t>off</t>
  </si>
  <si>
    <t>DBG:JSON={"smartlife.iot.smartbulb.lightingservice":{"transition_light_state":{"on_off":0</t>
  </si>
  <si>
    <t>DBG:RAW=off</t>
  </si>
  <si>
    <t>hue:250,saturation:50,brightness:100,color_temp:0,transition_period:0}}}</t>
  </si>
  <si>
    <t>hue:250,saturation:50,brightness:50,color_temp:0,transition_period:0}}}</t>
  </si>
  <si>
    <t>DBG:HEX= 63 6F 6C 6F 72 2C 32 35 30 2C 35 30 2C 35 30 2C 30 2C 30 2C 2C 2C 2C</t>
  </si>
  <si>
    <t>DBG:PARTS=[color][250][50][50][0][0]</t>
  </si>
  <si>
    <t>brightness:50,hue:250,saturation:50,color_temp:0,err_code:0}}}</t>
  </si>
  <si>
    <t>transition_period:250}}}</t>
  </si>
  <si>
    <t>DBG:HEX= 6F 66 66 2C 32 35 30 2C 35 30 2C 35 30 2C 30 2C 30 2C 2C 2C 2C</t>
  </si>
  <si>
    <t>DBG:PARTS=[off][250][50][50][0][0]</t>
  </si>
  <si>
    <t>RESP:{"smartlife.iot.smartbulb.lightingservice":{"transition_light_state":{"on_off":0</t>
  </si>
  <si>
    <t>dft_on_state:{hue:250,saturation:50,color_temp:0,brightness:50,mode:normal},err_code:0}}}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</si>
</sst>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Segoe UI Light"/>
      <family val="2"/>
    </font>
    <font>
      <sz val="16"/>
      <color rgb="FF696969"/>
      <name val="Segoe UI Light"/>
      <family val="2"/>
    </font>
    <font>
      <sz val="1"/>
      <color rgb="FFFFFFFF"/>
      <name val="Aptos Narrow"/>
      <family val="2"/>
      <scheme val="minor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b/>
      <sz val="15"/>
      <color rgb="FFFFFFFF"/>
      <name val="Segoe UI"/>
      <family val="2"/>
    </font>
    <font>
      <sz val="10"/>
      <color rgb="FF000000"/>
      <name val="Segoe UI"/>
      <family val="2"/>
    </font>
    <font>
      <sz val="10"/>
      <color rgb="FF000000"/>
      <name val="Wingdings"/>
      <charset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  <font>
      <sz val="9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CECE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DFF0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/>
      <bottom/>
      <diagonal/>
    </border>
    <border>
      <left style="hair">
        <color rgb="FFB4B4B4"/>
      </left>
      <right/>
      <top/>
      <bottom/>
      <diagonal/>
    </border>
    <border>
      <left style="hair">
        <color rgb="FFB4B4B4"/>
      </left>
      <right style="hair">
        <color rgb="FFB4B4B4"/>
      </right>
      <top style="hair">
        <color rgb="FFB4B4B4"/>
      </top>
      <bottom/>
      <diagonal/>
    </border>
    <border>
      <left/>
      <right/>
      <top style="hair">
        <color rgb="FFB4B4B4"/>
      </top>
      <bottom/>
      <diagonal/>
    </border>
    <border>
      <left style="hair">
        <color rgb="FFB4B4B4"/>
      </left>
      <right/>
      <top style="hair">
        <color rgb="FFB4B4B4"/>
      </top>
      <bottom/>
      <diagonal/>
    </border>
    <border>
      <left/>
      <right/>
      <top style="hair">
        <color rgb="FFB4B4B4"/>
      </top>
      <bottom style="thick">
        <color rgb="FFFFFFFF"/>
      </bottom>
      <diagonal/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  <diagonal/>
    </border>
    <border>
      <left style="hair">
        <color rgb="FFB4B4B4"/>
      </left>
      <right/>
      <top style="hair">
        <color rgb="FFB4B4B4"/>
      </top>
      <bottom style="thick">
        <color rgb="FFFFFFFF"/>
      </bottom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11" fillId="5" borderId="0" xfId="0" applyFont="1" applyFill="1" applyAlignment="1" applyProtection="1">
      <alignment horizontal="left" vertical="center" indent="1"/>
      <protection locked="0"/>
    </xf>
    <xf numFmtId="0" fontId="12" fillId="6" borderId="2" xfId="0" applyFont="1" applyFill="1" applyBorder="1" applyAlignment="1" applyProtection="1">
      <alignment horizontal="left" vertical="center" indent="1"/>
      <protection locked="0"/>
    </xf>
    <xf numFmtId="0" fontId="7" fillId="6" borderId="3" xfId="0" applyFont="1" applyFill="1" applyBorder="1" applyAlignment="1" applyProtection="1">
      <alignment horizontal="left" vertical="center" indent="1"/>
      <protection locked="0"/>
    </xf>
    <xf numFmtId="0" fontId="12" fillId="6" borderId="4" xfId="0" applyFont="1" applyFill="1" applyBorder="1" applyAlignment="1" applyProtection="1">
      <alignment horizontal="left" vertical="center" indent="1"/>
      <protection locked="0"/>
    </xf>
    <xf numFmtId="0" fontId="7" fillId="6" borderId="5" xfId="0" applyFont="1" applyFill="1" applyBorder="1" applyAlignment="1" applyProtection="1">
      <alignment horizontal="left" vertical="center" indent="1"/>
      <protection locked="0"/>
    </xf>
    <xf numFmtId="0" fontId="7" fillId="6" borderId="6" xfId="0" applyFont="1" applyFill="1" applyBorder="1" applyAlignment="1" applyProtection="1">
      <alignment horizontal="left" vertical="center" indent="1"/>
      <protection locked="0"/>
    </xf>
    <xf numFmtId="0" fontId="7" fillId="6" borderId="7" xfId="0" applyFont="1" applyFill="1" applyBorder="1" applyAlignment="1" applyProtection="1">
      <alignment horizontal="left" vertical="center" indent="1"/>
      <protection locked="0"/>
    </xf>
    <xf numFmtId="0" fontId="7" fillId="6" borderId="9" xfId="0" applyFont="1" applyFill="1" applyBorder="1" applyAlignment="1" applyProtection="1">
      <alignment horizontal="left" vertical="center" indent="1"/>
      <protection locked="0"/>
    </xf>
    <xf numFmtId="0" fontId="12" fillId="6" borderId="8" xfId="0" applyFont="1" applyFill="1" applyBorder="1" applyAlignment="1" applyProtection="1">
      <alignment horizontal="left" vertical="center" indent="1"/>
      <protection locked="0"/>
    </xf>
    <xf numFmtId="0" fontId="0" fillId="7" borderId="0" xfId="0" applyFill="1" applyProtection="1">
      <protection locked="0"/>
    </xf>
    <xf numFmtId="0" fontId="13" fillId="7" borderId="0" xfId="0" applyFont="1" applyFill="1" applyAlignment="1" applyProtection="1">
      <alignment horizontal="left" vertical="center" indent="1"/>
      <protection locked="0"/>
    </xf>
    <xf numFmtId="0" fontId="7" fillId="2" borderId="10" xfId="0" applyFont="1" applyFill="1" applyBorder="1" applyAlignment="1" applyProtection="1">
      <alignment horizontal="left" vertical="center" indent="1"/>
      <protection locked="0"/>
    </xf>
    <xf numFmtId="0" fontId="16" fillId="9" borderId="13" xfId="0" applyFont="1" applyFill="1" applyBorder="1" applyAlignment="1" applyProtection="1">
      <alignment horizontal="right" vertical="center" indent="1"/>
      <protection locked="0"/>
    </xf>
    <xf numFmtId="0" fontId="11" fillId="10" borderId="0" xfId="0" applyFont="1" applyFill="1" applyAlignment="1">
      <alignment horizontal="center" vertical="center"/>
    </xf>
    <xf numFmtId="0" fontId="16" fillId="11" borderId="14" xfId="0" applyFont="1" applyFill="1" applyBorder="1" applyAlignment="1" applyProtection="1">
      <alignment horizontal="right" vertical="center" indent="1"/>
      <protection locked="0"/>
    </xf>
    <xf numFmtId="164" fontId="16" fillId="11" borderId="14" xfId="0" applyNumberFormat="1" applyFont="1" applyFill="1" applyBorder="1" applyAlignment="1" applyProtection="1">
      <alignment horizontal="left" vertical="center" indent="1"/>
      <protection locked="0"/>
    </xf>
    <xf numFmtId="0" fontId="16" fillId="12" borderId="16" xfId="0" applyFont="1" applyFill="1" applyBorder="1" applyAlignment="1" applyProtection="1">
      <alignment horizontal="right" vertical="center" indent="1"/>
      <protection locked="0"/>
    </xf>
    <xf numFmtId="0" fontId="16" fillId="12" borderId="17" xfId="0" applyFont="1" applyFill="1" applyBorder="1" applyAlignment="1" applyProtection="1">
      <alignment horizontal="right" vertical="center" indent="1"/>
      <protection locked="0"/>
    </xf>
    <xf numFmtId="164" fontId="16" fillId="12" borderId="16" xfId="0" applyNumberFormat="1" applyFont="1" applyFill="1" applyBorder="1" applyAlignment="1" applyProtection="1">
      <alignment horizontal="left" vertical="center" indent="1"/>
      <protection locked="0"/>
    </xf>
    <xf numFmtId="164" fontId="16" fillId="12" borderId="17" xfId="0" applyNumberFormat="1" applyFont="1" applyFill="1" applyBorder="1" applyAlignment="1" applyProtection="1">
      <alignment horizontal="left" vertical="center" indent="1"/>
      <protection locked="0"/>
    </xf>
    <xf numFmtId="164" fontId="16" fillId="13" borderId="17" xfId="0" applyNumberFormat="1" applyFont="1" applyFill="1" applyBorder="1" applyAlignment="1" applyProtection="1">
      <alignment horizontal="left" vertical="center" indent="1"/>
      <protection locked="0"/>
    </xf>
    <xf numFmtId="0" fontId="16" fillId="13" borderId="17" xfId="0" applyFont="1" applyFill="1" applyBorder="1" applyAlignment="1" applyProtection="1">
      <alignment horizontal="right" vertical="center" indent="1"/>
      <protection locked="0"/>
    </xf>
    <xf numFmtId="0" fontId="0" fillId="14" borderId="0" xfId="0" applyFill="1"/>
    <xf numFmtId="0" fontId="1" fillId="0" borderId="0" xfId="0" applyFont="1"/>
    <xf numFmtId="0" fontId="2" fillId="16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7" fillId="3" borderId="0" xfId="0" applyFont="1" applyFill="1" applyAlignment="1">
      <alignment horizontal="left" vertical="center" indent="1"/>
    </xf>
    <xf numFmtId="0" fontId="7" fillId="6" borderId="0" xfId="0" applyFont="1" applyFill="1" applyAlignment="1" applyProtection="1">
      <alignment horizontal="left" vertical="center" indent="1"/>
      <protection locked="0"/>
    </xf>
    <xf numFmtId="0" fontId="6" fillId="7" borderId="0" xfId="0" applyFont="1" applyFill="1" applyAlignment="1">
      <alignment horizontal="left" vertical="center" indent="1"/>
    </xf>
    <xf numFmtId="0" fontId="15" fillId="8" borderId="11" xfId="0" applyFont="1" applyFill="1" applyBorder="1" applyAlignment="1">
      <alignment horizontal="center" vertical="center"/>
    </xf>
    <xf numFmtId="0" fontId="15" fillId="8" borderId="12" xfId="0" applyFont="1" applyFill="1" applyBorder="1" applyAlignment="1">
      <alignment horizontal="center" vertical="center"/>
    </xf>
    <xf numFmtId="0" fontId="16" fillId="11" borderId="14" xfId="0" quotePrefix="1" applyFont="1" applyFill="1" applyBorder="1" applyAlignment="1" applyProtection="1">
      <alignment horizontal="right" vertical="center" indent="1"/>
      <protection locked="0"/>
    </xf>
    <xf numFmtId="0" fontId="16" fillId="12" borderId="17" xfId="0" quotePrefix="1" applyFont="1" applyFill="1" applyBorder="1" applyAlignment="1" applyProtection="1">
      <alignment horizontal="right" vertical="center" indent="1"/>
      <protection locked="0"/>
    </xf>
    <xf numFmtId="0" fontId="16" fillId="13" borderId="17" xfId="0" quotePrefix="1" applyFont="1" applyFill="1" applyBorder="1" applyAlignment="1" applyProtection="1">
      <alignment horizontal="right" vertical="center" indent="1"/>
      <protection locked="0"/>
    </xf>
    <xf numFmtId="0" fontId="16" fillId="12" borderId="16" xfId="0" quotePrefix="1" applyFont="1" applyFill="1" applyBorder="1" applyAlignment="1" applyProtection="1">
      <alignment horizontal="right" vertical="center" indent="1"/>
      <protection locked="0"/>
    </xf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  <xf numFmtId="0" fontId="8" fillId="2" borderId="0" xfId="0" applyFont="1" applyFill="1" applyAlignment="1">
      <alignment horizontal="left" indent="1"/>
    </xf>
    <xf numFmtId="0" fontId="9" fillId="2" borderId="0" xfId="0" applyFont="1" applyFill="1" applyAlignment="1">
      <alignment horizontal="left" vertical="top" wrapText="1" indent="1"/>
    </xf>
    <xf numFmtId="0" fontId="17" fillId="2" borderId="0" xfId="0" applyFont="1" applyFill="1" applyAlignment="1">
      <alignment horizontal="left" indent="1"/>
    </xf>
    <xf numFmtId="0" fontId="17" fillId="2" borderId="15" xfId="0" applyFont="1" applyFill="1" applyBorder="1" applyAlignment="1">
      <alignment horizontal="left" indent="1"/>
    </xf>
    <xf numFmtId="0" fontId="8" fillId="0" borderId="0" xfId="0" applyFont="1" applyAlignment="1">
      <alignment horizontal="left" indent="1"/>
    </xf>
    <xf numFmtId="0" fontId="9" fillId="0" borderId="0" xfId="0" applyFont="1" applyAlignment="1">
      <alignment horizontal="left" vertical="top" wrapText="1" indent="1"/>
    </xf>
    <xf numFmtId="0" fontId="2" fillId="15" borderId="0" xfId="0" applyFont="1" applyFill="1" applyAlignment="1">
      <alignment horizontal="center"/>
    </xf>
    <xf numFmtId="0" fontId="8" fillId="7" borderId="0" xfId="0" applyFont="1" applyFill="1" applyAlignment="1" applyProtection="1">
      <alignment horizontal="left" indent="1"/>
      <protection locked="0"/>
    </xf>
    <xf numFmtId="0" fontId="9" fillId="7" borderId="0" xfId="0" applyFont="1" applyFill="1" applyAlignment="1" applyProtection="1">
      <alignment horizontal="left" vertical="top" wrapText="1" indent="1"/>
      <protection locked="0"/>
    </xf>
    <xf numFmtId="0" fontId="14" fillId="7" borderId="0" xfId="0" applyFont="1" applyFill="1" applyAlignment="1" applyProtection="1">
      <alignment horizontal="left" vertical="center" wrapText="1" indent="1"/>
      <protection locked="0"/>
    </xf>
    <xf numFmtId="0" fontId="8" fillId="2" borderId="0" xfId="0" applyFont="1" applyFill="1" applyAlignment="1" applyProtection="1">
      <alignment horizontal="left" indent="1"/>
      <protection locked="0"/>
    </xf>
    <xf numFmtId="0" fontId="9" fillId="2" borderId="0" xfId="0" applyFont="1" applyFill="1" applyAlignment="1" applyProtection="1">
      <alignment horizontal="left" vertical="top" wrapText="1" indent="1"/>
      <protection locked="0"/>
    </xf>
    <xf numFmtId="0" fontId="10" fillId="4" borderId="0" xfId="0" applyFont="1" applyFill="1" applyAlignment="1" applyProtection="1">
      <alignment horizontal="left" vertical="center" indent="1"/>
      <protection locked="0"/>
    </xf>
    <xf numFmtId="0" fontId="10" fillId="4" borderId="1" xfId="0" applyFont="1" applyFill="1" applyBorder="1" applyAlignment="1" applyProtection="1">
      <alignment horizontal="left" vertical="center" indent="1"/>
      <protection locked="0"/>
    </xf>
    <xf numFmtId="0" fontId="4" fillId="2" borderId="0" xfId="0" applyFont="1" applyFill="1" applyAlignment="1" applyProtection="1">
      <alignment horizontal="left" indent="1"/>
      <protection locked="0"/>
    </xf>
    <xf numFmtId="0" fontId="6" fillId="2" borderId="0" xfId="0" applyFont="1" applyFill="1" applyAlignment="1">
      <alignment horizontal="left"/>
    </xf>
    <xf numFmtId="0" fontId="7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29"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9" formatCode="d/m/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7DB30EF9-6CEC-47F3-9C2D-3DC98BB6885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21</xdr:row>
      <xdr:rowOff>0</xdr:rowOff>
    </xdr:from>
    <xdr:to>
      <xdr:col>12</xdr:col>
      <xdr:colOff>0</xdr:colOff>
      <xdr:row>22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D3A7DA4-1B5C-3D47-57E0-C6689A3BC634}"/>
            </a:ext>
          </a:extLst>
        </xdr:cNvPr>
        <xdr:cNvSpPr/>
      </xdr:nvSpPr>
      <xdr:spPr>
        <a:xfrm>
          <a:off x="8451850" y="5549900"/>
          <a:ext cx="609600" cy="247650"/>
        </a:xfrm>
        <a:prstGeom prst="rect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SG" sz="1100">
              <a:solidFill>
                <a:srgbClr val="000000"/>
              </a:solidFill>
            </a:rPr>
            <a:t>◀ Newest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00034D-E8F9-43D2-9B48-7FC8DACD22D4}" name="TBL_CUR" displayName="TBL_CUR" ref="A4:K5" totalsRowShown="0" headerRowDxfId="28" dataDxfId="27">
  <autoFilter ref="A4:K5" xr:uid="{D700034D-E8F9-43D2-9B48-7FC8DACD22D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95213EF1-0FB7-47C5-9126-9C0E00C8DB01}" name="TIME" dataDxfId="26"/>
    <tableColumn id="2" xr3:uid="{9915C8C2-5DAA-4617-BB3D-60E1E32CF220}" name="CH1" dataDxfId="25"/>
    <tableColumn id="3" xr3:uid="{B5A2F699-C151-48D8-BEE4-C172852DFA1F}" name="CH2" dataDxfId="24"/>
    <tableColumn id="4" xr3:uid="{A1875338-E9C5-4F86-9991-379ECD93F5BA}" name="CH3" dataDxfId="23"/>
    <tableColumn id="5" xr3:uid="{A9234B0A-EDDD-487C-86DB-A79B48FCE49B}" name="CH4" dataDxfId="22"/>
    <tableColumn id="6" xr3:uid="{A392B4FC-64B0-4340-B05B-639B2E22ED5E}" name="CH5" dataDxfId="21"/>
    <tableColumn id="7" xr3:uid="{DD81C808-8D3F-4541-A75A-6E71F9BD850C}" name="CH6" dataDxfId="20"/>
    <tableColumn id="8" xr3:uid="{611DDAA4-A439-4355-BA9D-1E27D81994D4}" name="CH7" dataDxfId="19"/>
    <tableColumn id="9" xr3:uid="{14565D54-8C1F-4371-917B-A9E65F568BDF}" name="CH8" dataDxfId="18"/>
    <tableColumn id="10" xr3:uid="{4D4E5BC6-0D1D-4CD3-A360-6F2FE467D3B4}" name="CH9" dataDxfId="17"/>
    <tableColumn id="11" xr3:uid="{5B8600A0-C61B-48FA-BF7D-6459D29AA353}" name="CH10" dataDxfId="16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2343A7-A010-468C-848A-2110C4A9D8C5}" name="TBL_HST" displayName="TBL_HST" ref="A7:K22" totalsRowShown="0" headerRowDxfId="15" dataDxfId="14">
  <autoFilter ref="A7:K22" xr:uid="{A82343A7-A010-468C-848A-2110C4A9D8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B6E53797-ADE7-46A9-B6E9-0775511FCFE4}" name="TIME" dataDxfId="13"/>
    <tableColumn id="2" xr3:uid="{EB24BF02-B709-41CD-AF3C-31EDDE3EB8CD}" name="CH1" dataDxfId="12"/>
    <tableColumn id="3" xr3:uid="{E21D526A-6D90-4A84-80DE-66C3A0082B1B}" name="CH2" dataDxfId="11"/>
    <tableColumn id="4" xr3:uid="{2FE941C9-1042-43F1-8B27-A099108040BB}" name="CH3" dataDxfId="10"/>
    <tableColumn id="5" xr3:uid="{3ACC9595-5822-4FCB-8740-ACC063EC9B76}" name="CH4" dataDxfId="9"/>
    <tableColumn id="6" xr3:uid="{E731023A-6BA5-409E-8EB2-9F21D8AB268D}" name="CH5" dataDxfId="8"/>
    <tableColumn id="7" xr3:uid="{3B65CEEE-99E7-416F-B376-B1E1F3978F36}" name="CH6" dataDxfId="7"/>
    <tableColumn id="8" xr3:uid="{C3128232-DA3F-43DF-BF89-1363BEE7B6EC}" name="CH7" dataDxfId="6"/>
    <tableColumn id="9" xr3:uid="{4696B39C-9B9D-42C3-97DC-3C19DDC1EF30}" name="CH8" dataDxfId="5"/>
    <tableColumn id="10" xr3:uid="{018B277D-D355-4BFF-91E3-0522DBC2E99E}" name="CH9" dataDxfId="4"/>
    <tableColumn id="11" xr3:uid="{869CB27E-E5CE-4566-804A-66B492E66824}" name="CH10" dataDxfId="3"/>
  </tableColumns>
  <tableStyleInfo name="Invisib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41A8247-287F-4A9F-80EB-DF85323F8360}" name="TranColormap" displayName="TranColormap" ref="A6:F7" totalsRowShown="0">
  <autoFilter ref="A6:F7" xr:uid="{941A8247-287F-4A9F-80EB-DF85323F8360}"/>
  <tableColumns count="6">
    <tableColumn id="1" xr3:uid="{DDFE4FD2-C9E9-4D33-91B1-717B51A33980}" name="COM"/>
    <tableColumn id="2" xr3:uid="{6E0402B0-AC6C-4A50-860A-2F0F3B3BA7BA}" name="HUE"/>
    <tableColumn id="3" xr3:uid="{4BD74B9E-FDE2-4592-B47B-4D8421DB1651}" name="SAT"/>
    <tableColumn id="4" xr3:uid="{C787FE06-7ABB-478B-BC83-CA4C8D6EFC8D}" name="BRIGHT"/>
    <tableColumn id="5" xr3:uid="{F6816667-F97B-49AC-8282-AE6E0F2710C4}" name="COLOR TEMP"/>
    <tableColumn id="6" xr3:uid="{0352CEAD-8F61-4D0F-B2EA-2ED16E8A0B21}" name="TRANSI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1F9538-06D3-4B97-BA82-634D97AC146B}" name="Master_State" displayName="Master_State" ref="A10:B11" totalsRowShown="0" dataDxfId="2">
  <autoFilter ref="A10:B11" xr:uid="{031F9538-06D3-4B97-BA82-634D97AC146B}"/>
  <tableColumns count="2">
    <tableColumn id="1" xr3:uid="{9E8D6858-3562-4AEC-AAAC-DA2889D98B0C}" name="Date" dataDxfId="1">
      <calculatedColumnFormula>'Data In'!A22</calculatedColumnFormula>
    </tableColumn>
    <tableColumn id="2" xr3:uid="{A3B0F9C0-2B3F-443A-8560-6ADF6A9F3D2B}" name="Status" dataDxfId="0">
      <calculatedColumnFormula>'Data In'!B22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7F018-FBE2-4364-BA7E-83C51BF80B2A}">
  <dimension ref="A1:K22"/>
  <sheetViews>
    <sheetView workbookViewId="0">
      <selection activeCell="G11" sqref="G11"/>
    </sheetView>
  </sheetViews>
  <sheetFormatPr defaultRowHeight="14.5" x14ac:dyDescent="0.35"/>
  <cols>
    <col min="1" max="1" width="14.6328125" style="1" customWidth="1"/>
    <col min="2" max="11" width="10.6328125" style="1" customWidth="1"/>
    <col min="12" max="12" width="16.6328125" style="1" customWidth="1"/>
    <col min="13" max="16384" width="8.7265625" style="1"/>
  </cols>
  <sheetData>
    <row r="1" spans="1:11" ht="29" x14ac:dyDescent="0.75">
      <c r="A1" s="40" t="s">
        <v>32</v>
      </c>
      <c r="B1" s="40"/>
      <c r="C1" s="40"/>
      <c r="D1" s="40"/>
      <c r="E1" s="40"/>
      <c r="F1" s="40"/>
      <c r="G1" s="40"/>
      <c r="H1" s="40"/>
      <c r="I1" s="40"/>
      <c r="J1" s="40"/>
    </row>
    <row r="2" spans="1:11" ht="16.5" x14ac:dyDescent="0.35">
      <c r="A2" s="41" t="s">
        <v>33</v>
      </c>
      <c r="B2" s="41"/>
      <c r="C2" s="41"/>
      <c r="D2" s="41"/>
      <c r="E2" s="41"/>
      <c r="F2" s="41"/>
      <c r="G2" s="41"/>
      <c r="H2" s="41"/>
      <c r="I2" s="41"/>
      <c r="J2" s="41"/>
    </row>
    <row r="3" spans="1:11" ht="33.5" customHeight="1" x14ac:dyDescent="0.55000000000000004">
      <c r="A3" s="42" t="s">
        <v>34</v>
      </c>
      <c r="B3" s="42"/>
      <c r="C3" s="42"/>
      <c r="D3" s="42"/>
      <c r="E3" s="42"/>
      <c r="F3" s="42"/>
      <c r="G3" s="42"/>
      <c r="H3" s="42"/>
      <c r="I3" s="42"/>
      <c r="J3" s="42"/>
      <c r="K3" s="42"/>
    </row>
    <row r="4" spans="1:11" ht="16" x14ac:dyDescent="0.35">
      <c r="A4" s="16" t="s">
        <v>35</v>
      </c>
      <c r="B4" s="16" t="s">
        <v>11</v>
      </c>
      <c r="C4" s="16" t="s">
        <v>13</v>
      </c>
      <c r="D4" s="16" t="s">
        <v>14</v>
      </c>
      <c r="E4" s="16" t="s">
        <v>15</v>
      </c>
      <c r="F4" s="16" t="s">
        <v>16</v>
      </c>
      <c r="G4" s="16" t="s">
        <v>17</v>
      </c>
      <c r="H4" s="16" t="s">
        <v>18</v>
      </c>
      <c r="I4" s="16" t="s">
        <v>19</v>
      </c>
      <c r="J4" s="16" t="s">
        <v>20</v>
      </c>
      <c r="K4" s="16" t="s">
        <v>21</v>
      </c>
    </row>
    <row r="5" spans="1:11" ht="19.5" customHeight="1" x14ac:dyDescent="0.35">
      <c r="A5" s="18">
        <v>45917.003752939818</v>
      </c>
      <c r="B5" s="34" t="s">
        <v>40</v>
      </c>
      <c r="C5" s="17"/>
      <c r="D5" s="17"/>
      <c r="E5" s="17"/>
      <c r="F5" s="17"/>
      <c r="G5" s="17"/>
      <c r="H5" s="17"/>
      <c r="I5" s="17"/>
      <c r="J5" s="17"/>
      <c r="K5" s="17"/>
    </row>
    <row r="6" spans="1:11" ht="33.5" customHeight="1" x14ac:dyDescent="0.55000000000000004">
      <c r="A6" s="43" t="s">
        <v>36</v>
      </c>
      <c r="B6" s="43"/>
      <c r="C6" s="43"/>
      <c r="D6" s="43"/>
      <c r="E6" s="43"/>
      <c r="F6" s="43"/>
      <c r="G6" s="43"/>
      <c r="H6" s="43"/>
      <c r="I6" s="43"/>
      <c r="J6" s="43"/>
      <c r="K6" s="43"/>
    </row>
    <row r="7" spans="1:11" ht="16" x14ac:dyDescent="0.35">
      <c r="A7" s="16" t="s">
        <v>35</v>
      </c>
      <c r="B7" s="16" t="s">
        <v>11</v>
      </c>
      <c r="C7" s="16" t="s">
        <v>13</v>
      </c>
      <c r="D7" s="16" t="s">
        <v>14</v>
      </c>
      <c r="E7" s="16" t="s">
        <v>15</v>
      </c>
      <c r="F7" s="16" t="s">
        <v>16</v>
      </c>
      <c r="G7" s="16" t="s">
        <v>17</v>
      </c>
      <c r="H7" s="16" t="s">
        <v>18</v>
      </c>
      <c r="I7" s="16" t="s">
        <v>19</v>
      </c>
      <c r="J7" s="16" t="s">
        <v>20</v>
      </c>
      <c r="K7" s="16" t="s">
        <v>21</v>
      </c>
    </row>
    <row r="8" spans="1:11" ht="19.5" customHeight="1" x14ac:dyDescent="0.35">
      <c r="A8" s="21">
        <v>45917.003353958331</v>
      </c>
      <c r="B8" s="37" t="s">
        <v>55</v>
      </c>
      <c r="C8" s="37" t="s">
        <v>62</v>
      </c>
      <c r="D8" s="19"/>
      <c r="E8" s="19"/>
      <c r="F8" s="19"/>
      <c r="G8" s="19"/>
      <c r="H8" s="19"/>
      <c r="I8" s="19"/>
      <c r="J8" s="19"/>
      <c r="K8" s="19"/>
    </row>
    <row r="9" spans="1:11" ht="19.5" customHeight="1" x14ac:dyDescent="0.35">
      <c r="A9" s="22">
        <v>45917.003363368058</v>
      </c>
      <c r="B9" s="35" t="s">
        <v>56</v>
      </c>
      <c r="C9" s="20"/>
      <c r="D9" s="20"/>
      <c r="E9" s="20"/>
      <c r="F9" s="20"/>
      <c r="G9" s="20"/>
      <c r="H9" s="20"/>
      <c r="I9" s="20"/>
      <c r="J9" s="20"/>
      <c r="K9" s="20"/>
    </row>
    <row r="10" spans="1:11" ht="19.5" customHeight="1" x14ac:dyDescent="0.35">
      <c r="A10" s="22">
        <v>45917.003363368058</v>
      </c>
      <c r="B10" s="35" t="s">
        <v>40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9.5" customHeight="1" x14ac:dyDescent="0.35">
      <c r="A11" s="22">
        <v>45917.00337972222</v>
      </c>
      <c r="B11" s="35" t="s">
        <v>53</v>
      </c>
      <c r="C11" s="20">
        <v>250</v>
      </c>
      <c r="D11" s="20">
        <v>50</v>
      </c>
      <c r="E11" s="20">
        <v>50</v>
      </c>
      <c r="F11" s="20">
        <v>0</v>
      </c>
      <c r="G11" s="20">
        <v>0</v>
      </c>
      <c r="H11" s="35" t="s">
        <v>54</v>
      </c>
      <c r="I11" s="35" t="s">
        <v>54</v>
      </c>
      <c r="J11" s="35" t="s">
        <v>54</v>
      </c>
      <c r="K11" s="20"/>
    </row>
    <row r="12" spans="1:11" ht="19.5" customHeight="1" x14ac:dyDescent="0.35">
      <c r="A12" s="22">
        <v>45917.003379733796</v>
      </c>
      <c r="B12" s="35" t="s">
        <v>64</v>
      </c>
      <c r="C12" s="20"/>
      <c r="D12" s="20"/>
      <c r="E12" s="20"/>
      <c r="F12" s="20"/>
      <c r="G12" s="20"/>
      <c r="H12" s="20"/>
      <c r="I12" s="20"/>
      <c r="J12" s="20"/>
      <c r="K12" s="20"/>
    </row>
    <row r="13" spans="1:11" ht="19.5" customHeight="1" x14ac:dyDescent="0.35">
      <c r="A13" s="22">
        <v>45917.003379733796</v>
      </c>
      <c r="B13" s="35" t="s">
        <v>65</v>
      </c>
      <c r="C13" s="20"/>
      <c r="D13" s="20"/>
      <c r="E13" s="20"/>
      <c r="F13" s="20"/>
      <c r="G13" s="20"/>
      <c r="H13" s="20"/>
      <c r="I13" s="20"/>
      <c r="J13" s="20"/>
      <c r="K13" s="20"/>
    </row>
    <row r="14" spans="1:11" ht="19.5" customHeight="1" x14ac:dyDescent="0.35">
      <c r="A14" s="22">
        <v>45917.003379756941</v>
      </c>
      <c r="B14" s="35" t="s">
        <v>55</v>
      </c>
      <c r="C14" s="35" t="s">
        <v>63</v>
      </c>
      <c r="D14" s="20"/>
      <c r="E14" s="20"/>
      <c r="F14" s="20"/>
      <c r="G14" s="20"/>
      <c r="H14" s="20"/>
      <c r="I14" s="20"/>
      <c r="J14" s="20"/>
      <c r="K14" s="20"/>
    </row>
    <row r="15" spans="1:11" ht="19.5" customHeight="1" x14ac:dyDescent="0.35">
      <c r="A15" s="22">
        <v>45917.003385659722</v>
      </c>
      <c r="B15" s="35" t="s">
        <v>57</v>
      </c>
      <c r="C15" s="35" t="s">
        <v>58</v>
      </c>
      <c r="D15" s="35" t="s">
        <v>66</v>
      </c>
      <c r="E15" s="20"/>
      <c r="F15" s="20"/>
      <c r="G15" s="20"/>
      <c r="H15" s="20"/>
      <c r="I15" s="20"/>
      <c r="J15" s="20"/>
      <c r="K15" s="20"/>
    </row>
    <row r="16" spans="1:11" ht="19.5" customHeight="1" x14ac:dyDescent="0.35">
      <c r="A16" s="22">
        <v>45917.003385659722</v>
      </c>
      <c r="B16" s="35" t="s">
        <v>40</v>
      </c>
      <c r="C16" s="20"/>
      <c r="D16" s="20"/>
      <c r="E16" s="20"/>
      <c r="F16" s="20"/>
      <c r="G16" s="20"/>
      <c r="H16" s="20"/>
      <c r="I16" s="20"/>
      <c r="J16" s="20"/>
      <c r="K16" s="20"/>
    </row>
    <row r="17" spans="1:11" ht="19.5" customHeight="1" x14ac:dyDescent="0.35">
      <c r="A17" s="22">
        <v>45917.003748912037</v>
      </c>
      <c r="B17" s="35" t="s">
        <v>61</v>
      </c>
      <c r="C17" s="20">
        <v>250</v>
      </c>
      <c r="D17" s="20">
        <v>50</v>
      </c>
      <c r="E17" s="20">
        <v>50</v>
      </c>
      <c r="F17" s="20">
        <v>0</v>
      </c>
      <c r="G17" s="20">
        <v>0</v>
      </c>
      <c r="H17" s="35" t="s">
        <v>54</v>
      </c>
      <c r="I17" s="35" t="s">
        <v>54</v>
      </c>
      <c r="J17" s="35" t="s">
        <v>54</v>
      </c>
      <c r="K17" s="20"/>
    </row>
    <row r="18" spans="1:11" ht="19.5" customHeight="1" x14ac:dyDescent="0.35">
      <c r="A18" s="22">
        <v>45917.003748923613</v>
      </c>
      <c r="B18" s="35" t="s">
        <v>68</v>
      </c>
      <c r="C18" s="20"/>
      <c r="D18" s="20"/>
      <c r="E18" s="20"/>
      <c r="F18" s="20"/>
      <c r="G18" s="20"/>
      <c r="H18" s="20"/>
      <c r="I18" s="20"/>
      <c r="J18" s="20"/>
      <c r="K18" s="20"/>
    </row>
    <row r="19" spans="1:11" ht="19.5" customHeight="1" x14ac:dyDescent="0.35">
      <c r="A19" s="22">
        <v>45917.003748923613</v>
      </c>
      <c r="B19" s="35" t="s">
        <v>69</v>
      </c>
      <c r="C19" s="20"/>
      <c r="D19" s="20"/>
      <c r="E19" s="20"/>
      <c r="F19" s="20"/>
      <c r="G19" s="20"/>
      <c r="H19" s="20"/>
      <c r="I19" s="20"/>
      <c r="J19" s="20"/>
      <c r="K19" s="20"/>
    </row>
    <row r="20" spans="1:11" ht="19.5" customHeight="1" x14ac:dyDescent="0.35">
      <c r="A20" s="22">
        <v>45917.003748923613</v>
      </c>
      <c r="B20" s="35" t="s">
        <v>60</v>
      </c>
      <c r="C20" s="35" t="s">
        <v>67</v>
      </c>
      <c r="D20" s="20"/>
      <c r="E20" s="20"/>
      <c r="F20" s="20"/>
      <c r="G20" s="20"/>
      <c r="H20" s="20"/>
      <c r="I20" s="20"/>
      <c r="J20" s="20"/>
      <c r="K20" s="20"/>
    </row>
    <row r="21" spans="1:11" ht="19.5" customHeight="1" x14ac:dyDescent="0.35">
      <c r="A21" s="22">
        <v>45917.003752928242</v>
      </c>
      <c r="B21" s="35" t="s">
        <v>70</v>
      </c>
      <c r="C21" s="35" t="s">
        <v>71</v>
      </c>
      <c r="D21" s="20"/>
      <c r="E21" s="20"/>
      <c r="F21" s="20"/>
      <c r="G21" s="20"/>
      <c r="H21" s="20"/>
      <c r="I21" s="20"/>
      <c r="J21" s="20"/>
      <c r="K21" s="20"/>
    </row>
    <row r="22" spans="1:11" ht="19.5" customHeight="1" x14ac:dyDescent="0.35">
      <c r="A22" s="23">
        <v>45917.003752939818</v>
      </c>
      <c r="B22" s="36" t="s">
        <v>40</v>
      </c>
      <c r="C22" s="24"/>
      <c r="D22" s="24"/>
      <c r="E22" s="24"/>
      <c r="F22" s="24"/>
      <c r="G22" s="24"/>
      <c r="H22" s="24"/>
      <c r="I22" s="24"/>
      <c r="J22" s="24"/>
      <c r="K22" s="24"/>
    </row>
  </sheetData>
  <mergeCells count="4">
    <mergeCell ref="A1:J1"/>
    <mergeCell ref="A2:J2"/>
    <mergeCell ref="A3:K3"/>
    <mergeCell ref="A6:K6"/>
  </mergeCells>
  <dataValidations count="22">
    <dataValidation allowBlank="1" showInputMessage="1" showErrorMessage="1" prompt="Time_x000d__x000a__x000d__x000a_TBL_CUR[TIME]" sqref="A5" xr:uid="{07889701-6F5A-4E0E-A169-EA13B4D440E7}"/>
    <dataValidation allowBlank="1" showInputMessage="1" showErrorMessage="1" prompt="TBL_CUR[CH1]" sqref="B5" xr:uid="{EC0ACB29-93D3-4C30-BDDC-66977D8B7BB9}"/>
    <dataValidation allowBlank="1" showInputMessage="1" showErrorMessage="1" prompt="TBL_CUR[CH2]" sqref="C5" xr:uid="{BF0D45E5-1A62-4389-980D-9D89E8CE23A0}"/>
    <dataValidation allowBlank="1" showInputMessage="1" showErrorMessage="1" prompt="TBL_CUR[CH3]" sqref="D5" xr:uid="{5DE3E5B5-8720-465F-BD24-7EF0E3A7CDA3}"/>
    <dataValidation allowBlank="1" showInputMessage="1" showErrorMessage="1" prompt="TBL_CUR[CH4]" sqref="E5" xr:uid="{BBE351FB-4F80-4B28-A076-5F95CCA6B717}"/>
    <dataValidation allowBlank="1" showInputMessage="1" showErrorMessage="1" prompt="TBL_CUR[CH5]" sqref="F5" xr:uid="{EFCC6593-BAB3-4345-8865-E804CD2D7BD8}"/>
    <dataValidation allowBlank="1" showInputMessage="1" showErrorMessage="1" prompt="TBL_CUR[CH6]" sqref="G5" xr:uid="{A39ED83E-AD18-441B-BC48-B56A21589D67}"/>
    <dataValidation allowBlank="1" showInputMessage="1" showErrorMessage="1" prompt="TBL_CUR[CH7]" sqref="H5" xr:uid="{9FE8764A-9A54-4E31-B294-E64A030AE227}"/>
    <dataValidation allowBlank="1" showInputMessage="1" showErrorMessage="1" prompt="TBL_CUR[CH8]" sqref="I5" xr:uid="{7E6264D3-9247-46DE-BB9F-CF7C5436CC20}"/>
    <dataValidation allowBlank="1" showInputMessage="1" showErrorMessage="1" prompt="TBL_CUR[CH9]" sqref="J5" xr:uid="{71BEEC06-FB82-4116-B378-EB8E6A4B9782}"/>
    <dataValidation allowBlank="1" showInputMessage="1" showErrorMessage="1" prompt="TBL_CUR[CH10]" sqref="K5" xr:uid="{BFD3D9F3-F875-4AD3-8E45-A664DB740105}"/>
    <dataValidation allowBlank="1" showInputMessage="1" showErrorMessage="1" prompt="Time_x000d__x000a__x000d__x000a_TBL_HST[TIME]" sqref="A8:A22" xr:uid="{946D1B70-5D5C-4B3B-92E1-C168EA5094A5}"/>
    <dataValidation allowBlank="1" showInputMessage="1" showErrorMessage="1" prompt="TBL_HST[CH1]" sqref="B8:B22" xr:uid="{79A3103E-BCC8-4A2F-984F-45CA23338168}"/>
    <dataValidation allowBlank="1" showInputMessage="1" showErrorMessage="1" prompt="TBL_HST[CH2]" sqref="C8:C22" xr:uid="{F7BEF926-9F7C-4AE2-89EA-6FAC21E21D21}"/>
    <dataValidation allowBlank="1" showInputMessage="1" showErrorMessage="1" prompt="TBL_HST[CH3]" sqref="D8:D22" xr:uid="{96C1AB2F-C77E-4336-A63A-1D0210274230}"/>
    <dataValidation allowBlank="1" showInputMessage="1" showErrorMessage="1" prompt="TBL_HST[CH4]" sqref="E8:E22" xr:uid="{58A71FE2-1F51-45A4-8006-C35D4709BF5A}"/>
    <dataValidation allowBlank="1" showInputMessage="1" showErrorMessage="1" prompt="TBL_HST[CH5]" sqref="F8:F22" xr:uid="{AB62CE1D-1256-4ABE-8847-008B34492551}"/>
    <dataValidation allowBlank="1" showInputMessage="1" showErrorMessage="1" prompt="TBL_HST[CH6]" sqref="G8:G22" xr:uid="{C6EAC119-7B16-4252-8C67-76A6A35C8BAA}"/>
    <dataValidation allowBlank="1" showInputMessage="1" showErrorMessage="1" prompt="TBL_HST[CH7]" sqref="H8:H22" xr:uid="{FD053D98-D4C0-4671-A035-61F7A03529E1}"/>
    <dataValidation allowBlank="1" showInputMessage="1" showErrorMessage="1" prompt="TBL_HST[CH8]" sqref="I8:I22" xr:uid="{5420899B-3CB5-4DE6-8057-B6F74DD32FCC}"/>
    <dataValidation allowBlank="1" showInputMessage="1" showErrorMessage="1" prompt="TBL_HST[CH9]" sqref="J8:J22" xr:uid="{878DEB44-7526-4D97-90F3-F5CE45737365}"/>
    <dataValidation allowBlank="1" showInputMessage="1" showErrorMessage="1" prompt="TBL_HST[CH10]" sqref="K8:K22" xr:uid="{ECC5C1E4-3A0F-4715-B195-624AF4C9A468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BC76B-B7D9-469C-8142-9DED875DF4C1}">
  <dimension ref="A1:J5"/>
  <sheetViews>
    <sheetView workbookViewId="0">
      <selection activeCell="D5" sqref="D5"/>
    </sheetView>
  </sheetViews>
  <sheetFormatPr defaultRowHeight="14.5" x14ac:dyDescent="0.35"/>
  <cols>
    <col min="1" max="10" width="11.453125" customWidth="1"/>
  </cols>
  <sheetData>
    <row r="1" spans="1:10" ht="29" x14ac:dyDescent="0.75">
      <c r="A1" s="44" t="s">
        <v>30</v>
      </c>
      <c r="B1" s="44"/>
      <c r="C1" s="44"/>
      <c r="D1" s="44"/>
      <c r="E1" s="44"/>
      <c r="F1" s="44"/>
      <c r="G1" s="44"/>
      <c r="H1" s="44"/>
    </row>
    <row r="2" spans="1:10" ht="16.5" x14ac:dyDescent="0.35">
      <c r="A2" s="45" t="s">
        <v>31</v>
      </c>
      <c r="B2" s="45"/>
      <c r="C2" s="45"/>
      <c r="D2" s="45"/>
      <c r="E2" s="45"/>
      <c r="F2" s="45"/>
      <c r="G2" s="45"/>
      <c r="H2" s="45"/>
    </row>
    <row r="3" spans="1:10" ht="17.5" customHeight="1" x14ac:dyDescent="0.35"/>
    <row r="4" spans="1:10" ht="19.5" customHeight="1" x14ac:dyDescent="0.35">
      <c r="A4" s="32" t="s">
        <v>11</v>
      </c>
      <c r="B4" s="33" t="s">
        <v>13</v>
      </c>
      <c r="C4" s="33" t="s">
        <v>14</v>
      </c>
      <c r="D4" s="33" t="s">
        <v>15</v>
      </c>
      <c r="E4" s="33" t="s">
        <v>16</v>
      </c>
      <c r="F4" s="33" t="s">
        <v>17</v>
      </c>
      <c r="G4" s="33" t="s">
        <v>18</v>
      </c>
      <c r="H4" s="33" t="s">
        <v>19</v>
      </c>
      <c r="I4" s="33" t="s">
        <v>20</v>
      </c>
      <c r="J4" s="33" t="s">
        <v>21</v>
      </c>
    </row>
    <row r="5" spans="1:10" ht="27" customHeight="1" x14ac:dyDescent="0.35">
      <c r="A5" s="15" t="str">
        <f>Sheet6!A7</f>
        <v>off</v>
      </c>
      <c r="B5" s="15">
        <f>Sheet6!B7</f>
        <v>250</v>
      </c>
      <c r="C5" s="15">
        <f>Sheet6!C7</f>
        <v>50</v>
      </c>
      <c r="D5" s="15">
        <f>Sheet6!D7</f>
        <v>50</v>
      </c>
      <c r="E5" s="15">
        <f>Sheet6!E7</f>
        <v>0</v>
      </c>
      <c r="F5" s="15">
        <f>Sheet6!F7</f>
        <v>0</v>
      </c>
      <c r="G5" s="15"/>
      <c r="H5" s="15"/>
      <c r="I5" s="15"/>
      <c r="J5" s="15"/>
    </row>
  </sheetData>
  <mergeCells count="2">
    <mergeCell ref="A1:H1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35747-BDE0-439A-8BE0-B5DBFE70F88E}">
  <dimension ref="A1:F11"/>
  <sheetViews>
    <sheetView tabSelected="1" zoomScale="210" zoomScaleNormal="210" workbookViewId="0">
      <selection activeCell="E11" sqref="E11"/>
    </sheetView>
  </sheetViews>
  <sheetFormatPr defaultRowHeight="14.5" x14ac:dyDescent="0.35"/>
  <cols>
    <col min="1" max="1" width="10.7265625" customWidth="1"/>
    <col min="2" max="2" width="9.6328125" customWidth="1"/>
    <col min="3" max="3" width="7.81640625" customWidth="1"/>
    <col min="4" max="4" width="9.7265625" customWidth="1"/>
    <col min="5" max="5" width="13.54296875" customWidth="1"/>
    <col min="6" max="6" width="12.90625" customWidth="1"/>
  </cols>
  <sheetData>
    <row r="1" spans="1:6" x14ac:dyDescent="0.35">
      <c r="A1" t="s">
        <v>48</v>
      </c>
    </row>
    <row r="2" spans="1:6" x14ac:dyDescent="0.35">
      <c r="A2" s="25" t="s">
        <v>52</v>
      </c>
      <c r="B2" s="46" t="s">
        <v>49</v>
      </c>
      <c r="C2" s="46"/>
      <c r="D2" s="46"/>
      <c r="E2" s="46"/>
      <c r="F2" s="27" cm="1">
        <f t="array" ref="F2">_xlfn._xlws.COPILOT("hue number for "&amp;A2&amp;" mood")</f>
        <v>120</v>
      </c>
    </row>
    <row r="5" spans="1:6" x14ac:dyDescent="0.35">
      <c r="A5" s="26" t="s">
        <v>43</v>
      </c>
    </row>
    <row r="6" spans="1:6" x14ac:dyDescent="0.35">
      <c r="A6" t="s">
        <v>44</v>
      </c>
      <c r="B6" t="s">
        <v>37</v>
      </c>
      <c r="C6" t="s">
        <v>45</v>
      </c>
      <c r="D6" t="s">
        <v>46</v>
      </c>
      <c r="E6" t="s">
        <v>38</v>
      </c>
      <c r="F6" t="s">
        <v>39</v>
      </c>
    </row>
    <row r="7" spans="1:6" x14ac:dyDescent="0.35">
      <c r="A7" t="s">
        <v>59</v>
      </c>
      <c r="B7">
        <v>250</v>
      </c>
      <c r="C7">
        <v>50</v>
      </c>
      <c r="D7">
        <v>50</v>
      </c>
    </row>
    <row r="9" spans="1:6" x14ac:dyDescent="0.35">
      <c r="A9" s="26" t="s">
        <v>47</v>
      </c>
    </row>
    <row r="10" spans="1:6" x14ac:dyDescent="0.35">
      <c r="A10" t="s">
        <v>41</v>
      </c>
      <c r="B10" t="s">
        <v>42</v>
      </c>
    </row>
    <row r="11" spans="1:6" x14ac:dyDescent="0.35">
      <c r="A11" s="39">
        <f>'Data In'!A22</f>
        <v>45917.003752939818</v>
      </c>
      <c r="B11" s="38" t="str">
        <f>'Data In'!B22</f>
        <v>ACK:SENT</v>
      </c>
    </row>
  </sheetData>
  <mergeCells count="1">
    <mergeCell ref="B2:E2"/>
  </mergeCells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A9E6E-75B2-45ED-9B49-D07E13EE62A1}">
  <dimension ref="A1:E13"/>
  <sheetViews>
    <sheetView workbookViewId="0">
      <selection sqref="A1:E1"/>
    </sheetView>
  </sheetViews>
  <sheetFormatPr defaultRowHeight="14.5" x14ac:dyDescent="0.35"/>
  <cols>
    <col min="1" max="1" width="30.6328125" style="12" customWidth="1"/>
    <col min="2" max="2" width="0.1796875" style="12" customWidth="1"/>
    <col min="3" max="3" width="30.6328125" style="12" customWidth="1"/>
    <col min="4" max="16384" width="8.7265625" style="12"/>
  </cols>
  <sheetData>
    <row r="1" spans="1:5" ht="29" x14ac:dyDescent="0.75">
      <c r="A1" s="47" t="s">
        <v>22</v>
      </c>
      <c r="B1" s="47"/>
      <c r="C1" s="47"/>
      <c r="D1" s="47"/>
      <c r="E1" s="47"/>
    </row>
    <row r="2" spans="1:5" ht="50" customHeight="1" x14ac:dyDescent="0.35">
      <c r="A2" s="48" t="s">
        <v>23</v>
      </c>
      <c r="B2" s="48"/>
      <c r="C2" s="48"/>
      <c r="D2" s="48"/>
      <c r="E2" s="48"/>
    </row>
    <row r="3" spans="1:5" ht="4.5" customHeight="1" x14ac:dyDescent="0.35"/>
    <row r="4" spans="1:5" ht="24" customHeight="1" x14ac:dyDescent="0.35">
      <c r="A4" s="31" t="s">
        <v>24</v>
      </c>
      <c r="B4" s="13">
        <v>150</v>
      </c>
      <c r="C4" s="14">
        <v>150</v>
      </c>
    </row>
    <row r="5" spans="1:5" ht="4.5" customHeight="1" x14ac:dyDescent="0.35"/>
    <row r="6" spans="1:5" ht="24" customHeight="1" x14ac:dyDescent="0.35">
      <c r="A6" s="31" t="s">
        <v>25</v>
      </c>
      <c r="B6" s="13">
        <v>15</v>
      </c>
      <c r="C6" s="14">
        <v>15</v>
      </c>
    </row>
    <row r="7" spans="1:5" ht="4.5" customHeight="1" x14ac:dyDescent="0.35"/>
    <row r="8" spans="1:5" ht="24" customHeight="1" x14ac:dyDescent="0.35">
      <c r="A8" s="31" t="s">
        <v>26</v>
      </c>
      <c r="B8" s="13">
        <v>10</v>
      </c>
      <c r="C8" s="14">
        <v>10</v>
      </c>
    </row>
    <row r="9" spans="1:5" ht="4.5" customHeight="1" x14ac:dyDescent="0.35"/>
    <row r="10" spans="1:5" ht="24" customHeight="1" x14ac:dyDescent="0.35">
      <c r="A10" s="31" t="s">
        <v>27</v>
      </c>
      <c r="B10" s="13" t="s">
        <v>28</v>
      </c>
      <c r="C10" s="14" t="s">
        <v>28</v>
      </c>
    </row>
    <row r="13" spans="1:5" ht="50" customHeight="1" x14ac:dyDescent="0.35">
      <c r="A13" s="49" t="s">
        <v>29</v>
      </c>
      <c r="B13" s="49"/>
      <c r="C13" s="49"/>
      <c r="D13" s="49"/>
      <c r="E13" s="49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178DA19D-3F2D-4898-85B6-C9D13E1699AC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966C1041-A4F2-4BF6-B39F-18F7DC6D0D6A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288BC0B5-6A01-4FC7-B135-4F773C29436E}">
      <formula1>1</formula1>
      <formula2>1000</formula2>
    </dataValidation>
    <dataValidation type="list" errorStyle="information" allowBlank="1" showInputMessage="1" sqref="C10" xr:uid="{6E4A2C6D-AFCA-4C1F-BBE1-AFF7C2591984}">
      <formula1>"Newest first,Newest last"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82CD-D6B1-4F0F-AD3E-7E0BC7A52C9C}">
  <dimension ref="A1:L16"/>
  <sheetViews>
    <sheetView workbookViewId="0">
      <selection activeCell="I9" sqref="I9"/>
    </sheetView>
  </sheetViews>
  <sheetFormatPr defaultRowHeight="14.5" x14ac:dyDescent="0.35"/>
  <cols>
    <col min="1" max="2" width="3.6328125" style="2" customWidth="1"/>
    <col min="3" max="3" width="14.6328125" style="2" customWidth="1"/>
    <col min="4" max="4" width="18.6328125" style="2" customWidth="1"/>
    <col min="5" max="5" width="60.6328125" style="2" customWidth="1"/>
    <col min="6" max="6" width="16.6328125" style="2" customWidth="1"/>
    <col min="7" max="7" width="12.6328125" style="2" customWidth="1"/>
    <col min="8" max="8" width="8.7265625" style="2"/>
    <col min="9" max="9" width="16.6328125" style="2" customWidth="1"/>
    <col min="10" max="10" width="60.6328125" style="2" customWidth="1"/>
    <col min="11" max="16384" width="8.7265625" style="2"/>
  </cols>
  <sheetData>
    <row r="1" spans="1:12" ht="29" x14ac:dyDescent="0.75">
      <c r="A1" s="50" t="s">
        <v>4</v>
      </c>
      <c r="B1" s="50"/>
      <c r="C1" s="50"/>
      <c r="D1" s="50"/>
      <c r="E1" s="50"/>
      <c r="F1" s="50"/>
      <c r="G1" s="50"/>
      <c r="L1" s="28" t="s">
        <v>51</v>
      </c>
    </row>
    <row r="2" spans="1:12" ht="48" customHeight="1" x14ac:dyDescent="0.35">
      <c r="A2" s="51" t="s">
        <v>5</v>
      </c>
      <c r="B2" s="51"/>
      <c r="C2" s="51"/>
      <c r="D2" s="51"/>
      <c r="E2" s="51"/>
      <c r="F2" s="51"/>
      <c r="G2" s="51"/>
    </row>
    <row r="3" spans="1:12" ht="26" customHeight="1" x14ac:dyDescent="0.7">
      <c r="B3" s="54" t="s">
        <v>0</v>
      </c>
      <c r="C3" s="54"/>
      <c r="D3" s="54"/>
      <c r="E3" s="54"/>
      <c r="F3" s="54"/>
      <c r="G3" s="54"/>
      <c r="H3" s="54"/>
    </row>
    <row r="4" spans="1:12" ht="26" customHeight="1" x14ac:dyDescent="0.45">
      <c r="B4" s="52"/>
      <c r="C4" s="52"/>
      <c r="D4" s="52"/>
      <c r="E4" s="52"/>
      <c r="F4" s="52"/>
      <c r="G4" s="52"/>
      <c r="I4" s="55" t="s">
        <v>1</v>
      </c>
      <c r="J4" s="55"/>
    </row>
    <row r="5" spans="1:12" ht="24" customHeight="1" x14ac:dyDescent="0.35">
      <c r="B5" s="52"/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I5" s="56" t="s">
        <v>50</v>
      </c>
      <c r="J5" s="56"/>
      <c r="K5" s="28">
        <v>1</v>
      </c>
    </row>
    <row r="6" spans="1:12" ht="24" customHeight="1" x14ac:dyDescent="0.45">
      <c r="B6" s="52"/>
      <c r="C6" s="30" t="s">
        <v>11</v>
      </c>
      <c r="D6" s="5" t="s">
        <v>11</v>
      </c>
      <c r="E6" s="5"/>
      <c r="F6" s="5"/>
      <c r="G6" s="4" t="s">
        <v>12</v>
      </c>
      <c r="I6" s="55" t="s">
        <v>2</v>
      </c>
      <c r="J6" s="55"/>
    </row>
    <row r="7" spans="1:12" ht="24" customHeight="1" x14ac:dyDescent="0.35">
      <c r="B7" s="52"/>
      <c r="C7" s="7" t="s">
        <v>13</v>
      </c>
      <c r="D7" s="8" t="s">
        <v>13</v>
      </c>
      <c r="E7" s="8"/>
      <c r="F7" s="8"/>
      <c r="G7" s="6" t="s">
        <v>12</v>
      </c>
      <c r="I7" s="29">
        <v>150</v>
      </c>
    </row>
    <row r="8" spans="1:12" ht="24" customHeight="1" x14ac:dyDescent="0.45">
      <c r="B8" s="52"/>
      <c r="C8" s="7" t="s">
        <v>14</v>
      </c>
      <c r="D8" s="8" t="s">
        <v>14</v>
      </c>
      <c r="E8" s="8"/>
      <c r="F8" s="8"/>
      <c r="G8" s="6" t="s">
        <v>12</v>
      </c>
      <c r="I8" s="55" t="s">
        <v>3</v>
      </c>
      <c r="J8" s="55"/>
    </row>
    <row r="9" spans="1:12" ht="24" customHeight="1" x14ac:dyDescent="0.35">
      <c r="B9" s="52"/>
      <c r="C9" s="7" t="s">
        <v>15</v>
      </c>
      <c r="D9" s="8" t="s">
        <v>15</v>
      </c>
      <c r="E9" s="8"/>
      <c r="F9" s="8"/>
      <c r="G9" s="6" t="s">
        <v>12</v>
      </c>
      <c r="I9" s="29">
        <v>9600</v>
      </c>
    </row>
    <row r="10" spans="1:12" ht="24" customHeight="1" x14ac:dyDescent="0.35">
      <c r="B10" s="52"/>
      <c r="C10" s="7" t="s">
        <v>16</v>
      </c>
      <c r="D10" s="8" t="s">
        <v>16</v>
      </c>
      <c r="E10" s="8"/>
      <c r="F10" s="8"/>
      <c r="G10" s="6" t="s">
        <v>12</v>
      </c>
    </row>
    <row r="11" spans="1:12" ht="24" customHeight="1" x14ac:dyDescent="0.35">
      <c r="B11" s="52"/>
      <c r="C11" s="7" t="s">
        <v>17</v>
      </c>
      <c r="D11" s="8" t="s">
        <v>17</v>
      </c>
      <c r="E11" s="8"/>
      <c r="F11" s="8"/>
      <c r="G11" s="6" t="s">
        <v>12</v>
      </c>
    </row>
    <row r="12" spans="1:12" ht="24" customHeight="1" x14ac:dyDescent="0.35">
      <c r="B12" s="52"/>
      <c r="C12" s="7" t="s">
        <v>18</v>
      </c>
      <c r="D12" s="8" t="s">
        <v>18</v>
      </c>
      <c r="E12" s="8"/>
      <c r="F12" s="8"/>
      <c r="G12" s="6" t="s">
        <v>12</v>
      </c>
    </row>
    <row r="13" spans="1:12" ht="24" customHeight="1" x14ac:dyDescent="0.35">
      <c r="B13" s="52"/>
      <c r="C13" s="7" t="s">
        <v>19</v>
      </c>
      <c r="D13" s="8" t="s">
        <v>19</v>
      </c>
      <c r="E13" s="8"/>
      <c r="F13" s="8"/>
      <c r="G13" s="6" t="s">
        <v>12</v>
      </c>
    </row>
    <row r="14" spans="1:12" ht="24" customHeight="1" x14ac:dyDescent="0.35">
      <c r="B14" s="52"/>
      <c r="C14" s="7" t="s">
        <v>20</v>
      </c>
      <c r="D14" s="8" t="s">
        <v>20</v>
      </c>
      <c r="E14" s="8"/>
      <c r="F14" s="8"/>
      <c r="G14" s="6" t="s">
        <v>12</v>
      </c>
    </row>
    <row r="15" spans="1:12" ht="24" customHeight="1" thickBot="1" x14ac:dyDescent="0.4">
      <c r="B15" s="53"/>
      <c r="C15" s="9" t="s">
        <v>21</v>
      </c>
      <c r="D15" s="10" t="s">
        <v>21</v>
      </c>
      <c r="E15" s="10"/>
      <c r="F15" s="10"/>
      <c r="G15" s="11" t="s">
        <v>12</v>
      </c>
    </row>
    <row r="16" spans="1:12" ht="15" thickTop="1" x14ac:dyDescent="0.35"/>
  </sheetData>
  <mergeCells count="9">
    <mergeCell ref="I4:J4"/>
    <mergeCell ref="I5:J5"/>
    <mergeCell ref="I6:J6"/>
    <mergeCell ref="I8:J8"/>
    <mergeCell ref="A1:G1"/>
    <mergeCell ref="A2:G2"/>
    <mergeCell ref="B4:G4"/>
    <mergeCell ref="B5:B15"/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9</vt:i4>
      </vt:variant>
    </vt:vector>
  </HeadingPairs>
  <TitlesOfParts>
    <vt:vector size="14" baseType="lpstr">
      <vt:lpstr>Data In</vt:lpstr>
      <vt:lpstr>Data Out</vt:lpstr>
      <vt:lpstr>Sheet6</vt:lpstr>
      <vt:lpstr>Settings</vt:lpstr>
      <vt:lpstr>Manifest</vt:lpstr>
      <vt:lpstr>DataChannelCountSetting</vt:lpstr>
      <vt:lpstr>DataDelaySetting</vt:lpstr>
      <vt:lpstr>DataOrientationSetting</vt:lpstr>
      <vt:lpstr>DataRowCountSetting</vt:lpstr>
      <vt:lpstr>Manifest_BaudRate</vt:lpstr>
      <vt:lpstr>Manifest_DataInterval</vt:lpstr>
      <vt:lpstr>Manifest_Generated</vt:lpstr>
      <vt:lpstr>Manifest_Id</vt:lpstr>
      <vt:lpstr>Manifest_Schema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Sanjiv Venkatram</dc:creator>
  <cp:lastModifiedBy>Sanjiv Venkatram</cp:lastModifiedBy>
  <dcterms:created xsi:type="dcterms:W3CDTF">2025-09-16T07:58:48Z</dcterms:created>
  <dcterms:modified xsi:type="dcterms:W3CDTF">2025-09-16T17:30:57Z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de7ef50d-07a1-43a1-858b-5b3ec675b83c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